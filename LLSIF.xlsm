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Ryan\Documents\GitHub\LLSIF-Excel\"/>
    </mc:Choice>
  </mc:AlternateContent>
  <bookViews>
    <workbookView xWindow="0" yWindow="0" windowWidth="14295" windowHeight="7125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6" l="1"/>
  <c r="C25" i="6"/>
  <c r="B7" i="6"/>
  <c r="C13" i="6" s="1"/>
  <c r="B7" i="2"/>
  <c r="B13" i="2"/>
  <c r="B12" i="2" s="1"/>
  <c r="C13" i="2"/>
  <c r="C12" i="2" s="1"/>
  <c r="D13" i="2"/>
  <c r="D12" i="2" s="1"/>
  <c r="E13" i="2"/>
  <c r="E12" i="2" s="1"/>
  <c r="C16" i="2"/>
  <c r="C21" i="2" s="1"/>
  <c r="D16" i="2"/>
  <c r="D21" i="2" s="1"/>
  <c r="E16" i="2"/>
  <c r="E21" i="2" s="1"/>
  <c r="C17" i="2"/>
  <c r="D17" i="2"/>
  <c r="E17" i="2"/>
  <c r="B21" i="2"/>
  <c r="B22" i="2"/>
  <c r="D13" i="6" l="1"/>
  <c r="E13" i="6"/>
  <c r="B13" i="6"/>
  <c r="E22" i="2"/>
  <c r="D22" i="2"/>
  <c r="C22" i="2"/>
  <c r="H31" i="6"/>
  <c r="I25" i="6"/>
  <c r="H7" i="6"/>
  <c r="I13" i="6" s="1"/>
  <c r="J13" i="6" l="1"/>
  <c r="K13" i="6"/>
  <c r="H13" i="6"/>
  <c r="P39" i="1" l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K12" i="2" s="1"/>
  <c r="I13" i="2"/>
  <c r="I12" i="2" s="1"/>
  <c r="H13" i="2"/>
  <c r="H12" i="2" s="1"/>
  <c r="J22" i="2"/>
  <c r="I22" i="2"/>
  <c r="K2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comments1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comments2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3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sharedStrings.xml><?xml version="1.0" encoding="utf-8"?>
<sst xmlns="http://schemas.openxmlformats.org/spreadsheetml/2006/main" count="384" uniqueCount="198">
  <si>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</si>
  <si>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</si>
  <si>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</si>
  <si>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</si>
  <si>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</si>
  <si>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</si>
  <si>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</si>
  <si>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</si>
  <si>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</si>
  <si>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</si>
  <si>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</si>
  <si>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</si>
  <si>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</si>
  <si>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</si>
  <si>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</si>
  <si>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</si>
  <si>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</si>
  <si>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</si>
  <si>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</si>
  <si>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</si>
  <si>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</si>
  <si>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</si>
  <si>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</si>
  <si>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</si>
  <si>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</si>
  <si>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</si>
  <si>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</si>
  <si>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</si>
  <si>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</si>
  <si>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</si>
  <si>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</si>
  <si>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</si>
  <si>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</si>
  <si>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</si>
  <si>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</si>
  <si>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</si>
  <si>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</si>
  <si>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</si>
  <si>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</si>
  <si>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</si>
  <si>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</si>
  <si>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</si>
  <si>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</si>
  <si>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</si>
  <si>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</si>
  <si>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</si>
  <si>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</si>
  <si>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</si>
  <si>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</si>
  <si>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</si>
  <si>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</si>
  <si>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</si>
  <si>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</si>
  <si>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</si>
  <si>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</si>
  <si>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</si>
  <si>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</si>
  <si>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</si>
  <si>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</si>
  <si>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</si>
  <si>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</si>
  <si>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</si>
  <si>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</si>
  <si>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</si>
  <si>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</si>
  <si>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</si>
  <si>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</si>
  <si>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</si>
  <si>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</si>
  <si>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</si>
  <si>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</si>
  <si>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</si>
  <si>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</si>
  <si>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</si>
  <si>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</si>
  <si>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</si>
  <si>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</si>
  <si>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</si>
  <si>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</si>
  <si>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</si>
  <si>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</si>
  <si>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</si>
  <si>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</si>
  <si>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</si>
  <si>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</si>
  <si>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</si>
  <si>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</si>
  <si>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</si>
  <si>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</si>
  <si>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</si>
  <si>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</si>
  <si>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</si>
  <si>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</si>
  <si>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</si>
  <si>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</si>
  <si>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</si>
  <si>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</si>
  <si>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</si>
  <si>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</si>
  <si>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</si>
  <si>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</si>
  <si>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</si>
  <si>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</si>
  <si>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</si>
  <si>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</si>
  <si>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</si>
  <si>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</si>
  <si>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</si>
  <si>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</si>
  <si>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</si>
  <si>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</si>
  <si>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</si>
  <si>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</si>
  <si>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</si>
  <si>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</si>
  <si>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</si>
  <si>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</si>
  <si>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</si>
  <si>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</si>
  <si>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</si>
  <si>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</si>
  <si>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</si>
  <si>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</si>
  <si>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</si>
  <si>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</si>
  <si>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</si>
  <si>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</si>
  <si>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</si>
  <si>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</si>
  <si>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</si>
  <si>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</si>
  <si>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</si>
  <si>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</si>
  <si>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</si>
  <si>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</si>
  <si>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</si>
  <si>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</si>
  <si>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</si>
  <si>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</si>
  <si>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</si>
  <si>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</si>
  <si>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</si>
  <si>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</si>
  <si>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</si>
  <si>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</si>
  <si>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</si>
  <si>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</si>
  <si>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</si>
  <si>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</si>
  <si>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</si>
  <si>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</si>
  <si>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</si>
  <si>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</si>
  <si>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</si>
  <si>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</si>
  <si>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</si>
  <si>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</si>
  <si>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</si>
  <si>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</si>
  <si>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</si>
  <si>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</si>
  <si>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</si>
  <si>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>2.3.2.0001</t>
    <phoneticPr fontId="2"/>
  </si>
  <si>
    <r>
      <t xml:space="preserve"> - Implemented Score Match history</t>
    </r>
    <r>
      <rPr>
        <b/>
        <sz val="11"/>
        <color theme="1"/>
        <rFont val="Arial"/>
        <family val="2"/>
      </rPr>
      <t xml:space="preserve"> for JP</t>
    </r>
    <r>
      <rPr>
        <sz val="11"/>
        <color theme="1"/>
        <rFont val="Arial"/>
        <family val="2"/>
      </rPr>
      <t xml:space="preserve"> for user to track match history.
 - Added Date/Time of Changelog modification!</t>
    </r>
    <phoneticPr fontId="2"/>
  </si>
  <si>
    <t>2.3.2.0002</t>
    <phoneticPr fontId="2"/>
  </si>
  <si>
    <t>1st</t>
    <phoneticPr fontId="2"/>
  </si>
  <si>
    <t>Score Match History:</t>
    <phoneticPr fontId="2"/>
  </si>
  <si>
    <t>Date/Time</t>
    <phoneticPr fontId="2"/>
  </si>
  <si>
    <t>Difficulty</t>
    <phoneticPr fontId="2"/>
  </si>
  <si>
    <t>Score</t>
    <phoneticPr fontId="2"/>
  </si>
  <si>
    <t>Placement</t>
    <phoneticPr fontId="2"/>
  </si>
  <si>
    <t>Round Points</t>
    <phoneticPr fontId="2"/>
  </si>
  <si>
    <t>時間</t>
    <rPh sb="0" eb="2">
      <t>ジカン</t>
    </rPh>
    <phoneticPr fontId="2"/>
  </si>
  <si>
    <t>難易度</t>
  </si>
  <si>
    <t>スコア</t>
    <phoneticPr fontId="2"/>
  </si>
  <si>
    <t>順位</t>
  </si>
  <si>
    <t>マッチポイント</t>
    <phoneticPr fontId="2"/>
  </si>
  <si>
    <t>Event Song Macros:</t>
    <phoneticPr fontId="2"/>
  </si>
  <si>
    <t>4x Song Macros</t>
    <phoneticPr fontId="2"/>
  </si>
  <si>
    <t>イベント曲マクロ</t>
    <rPh sb="4" eb="5">
      <t>キョク</t>
    </rPh>
    <phoneticPr fontId="2"/>
  </si>
  <si>
    <t>4x イベント曲マクロ</t>
    <rPh sb="7" eb="8">
      <t>キョク</t>
    </rPh>
    <phoneticPr fontId="2"/>
  </si>
  <si>
    <t>Step 4 - Round Points:</t>
    <phoneticPr fontId="2"/>
  </si>
  <si>
    <t xml:space="preserve"> - Added comments to provide help tips on each row for EN.</t>
    <phoneticPr fontId="2"/>
  </si>
  <si>
    <t>2.3.2.0003</t>
    <phoneticPr fontId="2"/>
  </si>
  <si>
    <t>S Rank</t>
    <phoneticPr fontId="2"/>
  </si>
  <si>
    <t>4th</t>
    <phoneticPr fontId="2"/>
  </si>
  <si>
    <t>2.3.3</t>
    <phoneticPr fontId="2"/>
  </si>
  <si>
    <t>Round 12 S.M. (Honoka)</t>
    <phoneticPr fontId="2"/>
  </si>
  <si>
    <t>2015-09-?? 1600 JST から 2015-09-?? 1500 JST まで</t>
    <phoneticPr fontId="2"/>
  </si>
  <si>
    <t>2015-09-02 0200 PST - 2015-09-10 0100 PST</t>
    <phoneticPr fontId="2"/>
  </si>
  <si>
    <t>Current Events (EN Score Match/JP Medley Festival)</t>
    <phoneticPr fontId="2"/>
  </si>
  <si>
    <t>TBA (Not Implemented)</t>
    <phoneticPr fontId="2"/>
  </si>
  <si>
    <t xml:space="preserve"> - Implemented Score Match history on EN.
 - Fixed comments in VBA code.
 - Added some descriptions to the macro list in the excel file.</t>
    <phoneticPr fontId="2"/>
  </si>
  <si>
    <t xml:space="preserve"> - Continued optimizing VBA code for ScoreMatch (Module 3 - EN).
 - Fixed mistake in SM_JP_Step3_4th macro.</t>
    <phoneticPr fontId="2"/>
  </si>
  <si>
    <t xml:space="preserve"> - Optimized VBA code for Score Match (Module 2 - JP).</t>
    <phoneticPr fontId="2"/>
  </si>
  <si>
    <t>1st</t>
    <phoneticPr fontId="2"/>
  </si>
  <si>
    <t>2.3.3.0001</t>
    <phoneticPr fontId="2"/>
  </si>
  <si>
    <t xml:space="preserve"> - Fixed issue in Score Match history where the sum of Round Points does not equal Total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</si>
</sst>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yyyy/m/d\ h:mm;@"/>
  </numFmts>
  <fonts count="1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22" fontId="3" fillId="0" borderId="0" xfId="0" applyNumberFormat="1" applyFont="1" applyProtection="1">
      <alignment vertical="center"/>
    </xf>
    <xf numFmtId="177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Protection="1">
      <alignment vertical="center"/>
    </xf>
    <xf numFmtId="0" fontId="5" fillId="0" borderId="0" xfId="0" applyFont="1" applyAlignment="1" applyProtection="1">
      <alignment horizontal="left" vertical="center"/>
    </xf>
    <xf numFmtId="22" fontId="4" fillId="0" borderId="0" xfId="0" applyNumberFormat="1" applyFont="1">
      <alignment vertical="center"/>
    </xf>
    <xf numFmtId="22" fontId="3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1" fontId="3" fillId="0" borderId="0" xfId="0" applyNumberFormat="1" applyFont="1" applyFill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22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4" xfId="0" applyFont="1" applyBorder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95251</xdr:rowOff>
    </xdr:from>
    <xdr:to>
      <xdr:col>3</xdr:col>
      <xdr:colOff>1</xdr:colOff>
      <xdr:row>20</xdr:row>
      <xdr:rowOff>104775</xdr:rowOff>
    </xdr:to>
    <xdr:sp macro="" textlink="">
      <xdr:nvSpPr>
        <xdr:cNvPr id="2" name="TextBox 1"/>
        <xdr:cNvSpPr txBox="1"/>
      </xdr:nvSpPr>
      <xdr:spPr>
        <a:xfrm>
          <a:off x="76202" y="95251"/>
          <a:ext cx="9439274" cy="3629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 (must enable!)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2.3.3</a:t>
          </a:r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YELLOW are for users to change!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RED are calculated values!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329" name="Button 185" hidden="1">
              <a:extLst>
                <a:ext uri="{63B3BB69-23CF-44E3-9099-C40C66FF867C}">
                  <a14:compatExt spid="_x0000_s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330" name="Button 186" hidden="1">
              <a:extLst>
                <a:ext uri="{63B3BB69-23CF-44E3-9099-C40C66FF867C}">
                  <a14:compatExt spid="_x0000_s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331" name="Button 187" hidden="1">
              <a:extLst>
                <a:ext uri="{63B3BB69-23CF-44E3-9099-C40C66FF867C}">
                  <a14:compatExt spid="_x0000_s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6332" name="Button 188" hidden="1">
              <a:extLst>
                <a:ext uri="{63B3BB69-23CF-44E3-9099-C40C66FF867C}">
                  <a14:compatExt spid="_x0000_s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6333" name="Button 189" hidden="1">
              <a:extLst>
                <a:ext uri="{63B3BB69-23CF-44E3-9099-C40C66FF867C}">
                  <a14:compatExt spid="_x0000_s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334" name="Button 190" hidden="1">
              <a:extLst>
                <a:ext uri="{63B3BB69-23CF-44E3-9099-C40C66FF867C}">
                  <a14:compatExt spid="_x0000_s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335" name="Button 191" hidden="1">
              <a:extLst>
                <a:ext uri="{63B3BB69-23CF-44E3-9099-C40C66FF867C}">
                  <a14:compatExt spid="_x0000_s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338" name="Button 194" hidden="1">
              <a:extLst>
                <a:ext uri="{63B3BB69-23CF-44E3-9099-C40C66FF867C}">
                  <a14:compatExt spid="_x0000_s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339" name="Button 195" hidden="1">
              <a:extLst>
                <a:ext uri="{63B3BB69-23CF-44E3-9099-C40C66FF867C}">
                  <a14:compatExt spid="_x0000_s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6340" name="Button 196" hidden="1">
              <a:extLst>
                <a:ext uri="{63B3BB69-23CF-44E3-9099-C40C66FF867C}">
                  <a14:compatExt spid="_x0000_s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6341" name="Button 197" hidden="1">
              <a:extLst>
                <a:ext uri="{63B3BB69-23CF-44E3-9099-C40C66FF867C}">
                  <a14:compatExt spid="_x0000_s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6342" name="Button 198" hidden="1">
              <a:extLst>
                <a:ext uri="{63B3BB69-23CF-44E3-9099-C40C66FF867C}">
                  <a14:compatExt spid="_x0000_s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6343" name="Button 199" hidden="1">
              <a:extLst>
                <a:ext uri="{63B3BB69-23CF-44E3-9099-C40C66FF867C}">
                  <a14:compatExt spid="_x0000_s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0</xdr:col>
          <xdr:colOff>1571625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9525</xdr:rowOff>
        </xdr:from>
        <xdr:to>
          <xdr:col>6</xdr:col>
          <xdr:colOff>1571625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23</xdr:row>
          <xdr:rowOff>9525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23</xdr:row>
          <xdr:rowOff>9525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omments" Target="../comments2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7.xml"/><Relationship Id="rId18" Type="http://schemas.openxmlformats.org/officeDocument/2006/relationships/ctrlProp" Target="../ctrlProps/ctrlProp72.xml"/><Relationship Id="rId26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5.xml"/><Relationship Id="rId34" Type="http://schemas.openxmlformats.org/officeDocument/2006/relationships/comments" Target="../comments3.x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17" Type="http://schemas.openxmlformats.org/officeDocument/2006/relationships/ctrlProp" Target="../ctrlProps/ctrlProp71.xml"/><Relationship Id="rId25" Type="http://schemas.openxmlformats.org/officeDocument/2006/relationships/ctrlProp" Target="../ctrlProps/ctrlProp79.xml"/><Relationship Id="rId33" Type="http://schemas.openxmlformats.org/officeDocument/2006/relationships/ctrlProp" Target="../ctrlProps/ctrlProp8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0.xml"/><Relationship Id="rId20" Type="http://schemas.openxmlformats.org/officeDocument/2006/relationships/ctrlProp" Target="../ctrlProps/ctrlProp74.xml"/><Relationship Id="rId29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24" Type="http://schemas.openxmlformats.org/officeDocument/2006/relationships/ctrlProp" Target="../ctrlProps/ctrlProp78.xml"/><Relationship Id="rId32" Type="http://schemas.openxmlformats.org/officeDocument/2006/relationships/ctrlProp" Target="../ctrlProps/ctrlProp86.xml"/><Relationship Id="rId5" Type="http://schemas.openxmlformats.org/officeDocument/2006/relationships/ctrlProp" Target="../ctrlProps/ctrlProp59.xml"/><Relationship Id="rId15" Type="http://schemas.openxmlformats.org/officeDocument/2006/relationships/ctrlProp" Target="../ctrlProps/ctrlProp69.xml"/><Relationship Id="rId23" Type="http://schemas.openxmlformats.org/officeDocument/2006/relationships/ctrlProp" Target="../ctrlProps/ctrlProp77.xml"/><Relationship Id="rId28" Type="http://schemas.openxmlformats.org/officeDocument/2006/relationships/ctrlProp" Target="../ctrlProps/ctrlProp82.xml"/><Relationship Id="rId10" Type="http://schemas.openxmlformats.org/officeDocument/2006/relationships/ctrlProp" Target="../ctrlProps/ctrlProp64.xml"/><Relationship Id="rId19" Type="http://schemas.openxmlformats.org/officeDocument/2006/relationships/ctrlProp" Target="../ctrlProps/ctrlProp73.xml"/><Relationship Id="rId31" Type="http://schemas.openxmlformats.org/officeDocument/2006/relationships/ctrlProp" Target="../ctrlProps/ctrlProp85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Relationship Id="rId22" Type="http://schemas.openxmlformats.org/officeDocument/2006/relationships/ctrlProp" Target="../ctrlProps/ctrlProp76.xml"/><Relationship Id="rId27" Type="http://schemas.openxmlformats.org/officeDocument/2006/relationships/ctrlProp" Target="../ctrlProps/ctrlProp81.xml"/><Relationship Id="rId30" Type="http://schemas.openxmlformats.org/officeDocument/2006/relationships/ctrlProp" Target="../ctrlProps/ctrlProp84.xml"/><Relationship Id="rId8" Type="http://schemas.openxmlformats.org/officeDocument/2006/relationships/ctrlProp" Target="../ctrlProps/ctrlProp6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32"/>
  <sheetViews>
    <sheetView tabSelected="1" topLeftCell="A5" workbookViewId="0">
      <selection activeCell="A33" sqref="A33"/>
    </sheetView>
  </sheetViews>
  <sheetFormatPr defaultColWidth="9" defaultRowHeight="14.25" x14ac:dyDescent="0.15"/>
  <cols>
    <col min="1" max="1" width="28.25" style="31" customWidth="1"/>
    <col min="2" max="2" width="10.125" style="1" bestFit="1" customWidth="1"/>
    <col min="3" max="3" width="86.5" style="1" bestFit="1" customWidth="1"/>
    <col min="4" max="16384" width="9" style="1"/>
  </cols>
  <sheetData>
    <row r="22" spans="1:3" ht="15" x14ac:dyDescent="0.15">
      <c r="A22" s="42" t="s">
        <v>146</v>
      </c>
      <c r="B22" s="42"/>
      <c r="C22" s="42"/>
    </row>
    <row r="23" spans="1:3" x14ac:dyDescent="0.15">
      <c r="A23" s="31" t="s">
        <v>150</v>
      </c>
      <c r="B23" s="1" t="s">
        <v>147</v>
      </c>
      <c r="C23" s="1" t="s">
        <v>148</v>
      </c>
    </row>
    <row r="24" spans="1:3" ht="28.5" x14ac:dyDescent="0.15">
      <c r="A24" s="31">
        <v>42220</v>
      </c>
      <c r="B24" s="1" t="s">
        <v>149</v>
      </c>
      <c r="C24" s="28" t="s">
        <v>151</v>
      </c>
    </row>
    <row r="25" spans="1:3" x14ac:dyDescent="0.15">
      <c r="A25" s="31">
        <v>42225</v>
      </c>
      <c r="B25" s="1" t="s">
        <v>152</v>
      </c>
      <c r="C25" s="1" t="s">
        <v>153</v>
      </c>
    </row>
    <row r="26" spans="1:3" x14ac:dyDescent="0.15">
      <c r="A26" s="31">
        <v>42241</v>
      </c>
      <c r="B26" s="1" t="s">
        <v>157</v>
      </c>
      <c r="C26" s="1" t="s">
        <v>158</v>
      </c>
    </row>
    <row r="27" spans="1:3" ht="29.25" x14ac:dyDescent="0.15">
      <c r="A27" s="31">
        <v>42242.851388888892</v>
      </c>
      <c r="B27" s="1" t="s">
        <v>160</v>
      </c>
      <c r="C27" s="28" t="s">
        <v>163</v>
      </c>
    </row>
    <row r="28" spans="1:3" x14ac:dyDescent="0.15">
      <c r="A28" s="31">
        <v>42242.864583333336</v>
      </c>
      <c r="B28" s="1" t="s">
        <v>162</v>
      </c>
      <c r="C28" s="1" t="s">
        <v>194</v>
      </c>
    </row>
    <row r="29" spans="1:3" x14ac:dyDescent="0.15">
      <c r="A29" s="31">
        <v>42242.949305555558</v>
      </c>
      <c r="B29" s="1" t="s">
        <v>164</v>
      </c>
      <c r="C29" s="1" t="s">
        <v>182</v>
      </c>
    </row>
    <row r="30" spans="1:3" ht="28.5" x14ac:dyDescent="0.15">
      <c r="A30" s="31">
        <v>42245.883333333331</v>
      </c>
      <c r="B30" s="1" t="s">
        <v>183</v>
      </c>
      <c r="C30" s="28" t="s">
        <v>193</v>
      </c>
    </row>
    <row r="31" spans="1:3" ht="42.75" x14ac:dyDescent="0.15">
      <c r="A31" s="31">
        <v>42248.084722222222</v>
      </c>
      <c r="B31" s="1" t="s">
        <v>186</v>
      </c>
      <c r="C31" s="28" t="s">
        <v>192</v>
      </c>
    </row>
    <row r="32" spans="1:3" x14ac:dyDescent="0.15">
      <c r="A32" s="31">
        <v>42250.694444444445</v>
      </c>
      <c r="B32" s="1" t="s">
        <v>196</v>
      </c>
      <c r="C32" s="1" t="s">
        <v>197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selection activeCell="B29" sqref="B29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7" t="s">
        <v>190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ht="28.5" x14ac:dyDescent="0.15">
      <c r="A2" s="7" t="s">
        <v>55</v>
      </c>
      <c r="B2" s="48" t="s">
        <v>187</v>
      </c>
      <c r="C2" s="48"/>
      <c r="D2" s="48"/>
      <c r="E2" s="48"/>
      <c r="F2" s="8"/>
      <c r="G2" s="7" t="s">
        <v>92</v>
      </c>
      <c r="H2" s="48" t="s">
        <v>191</v>
      </c>
      <c r="I2" s="48"/>
      <c r="J2" s="48"/>
      <c r="K2" s="48"/>
    </row>
    <row r="3" spans="1:11" ht="12.75" customHeight="1" x14ac:dyDescent="0.15">
      <c r="A3" s="9" t="s">
        <v>71</v>
      </c>
      <c r="B3" s="49" t="s">
        <v>189</v>
      </c>
      <c r="C3" s="49"/>
      <c r="D3" s="49"/>
      <c r="E3" s="49"/>
      <c r="F3" s="8"/>
      <c r="G3" s="9" t="s">
        <v>63</v>
      </c>
      <c r="H3" s="49" t="s">
        <v>188</v>
      </c>
      <c r="I3" s="49"/>
      <c r="J3" s="49"/>
      <c r="K3" s="49"/>
    </row>
    <row r="4" spans="1:11" ht="15.75" x14ac:dyDescent="0.15">
      <c r="A4" s="44" t="s">
        <v>54</v>
      </c>
      <c r="B4" s="44"/>
      <c r="C4" s="44"/>
      <c r="D4" s="44"/>
      <c r="E4" s="44"/>
      <c r="F4" s="8"/>
      <c r="G4" s="44" t="s">
        <v>51</v>
      </c>
      <c r="H4" s="44"/>
      <c r="I4" s="44"/>
      <c r="J4" s="44"/>
      <c r="K4" s="44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37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29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105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95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37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29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5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15"/>
      <c r="G17" s="8"/>
      <c r="H17" s="8"/>
      <c r="I17" s="8"/>
      <c r="J17" s="8"/>
      <c r="K17" s="8"/>
    </row>
    <row r="18" spans="1:11" ht="17.100000000000001" customHeight="1" x14ac:dyDescent="0.15">
      <c r="A18" s="37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29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15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15"/>
      <c r="G20" s="8"/>
      <c r="H20" s="8"/>
      <c r="I20" s="8"/>
      <c r="J20" s="8"/>
      <c r="K20" s="8"/>
    </row>
    <row r="21" spans="1:11" ht="17.100000000000001" customHeight="1" x14ac:dyDescent="0.15">
      <c r="A21" s="10" t="s">
        <v>7</v>
      </c>
      <c r="B21" s="20" t="s">
        <v>49</v>
      </c>
      <c r="C21" s="20">
        <v>83</v>
      </c>
      <c r="D21" s="10" t="s">
        <v>105</v>
      </c>
      <c r="E21" s="20">
        <v>25</v>
      </c>
      <c r="F21" s="15"/>
      <c r="G21" s="10" t="s">
        <v>7</v>
      </c>
      <c r="H21" s="20" t="s">
        <v>19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90</v>
      </c>
      <c r="B22" s="20" t="s">
        <v>49</v>
      </c>
      <c r="C22" s="20">
        <v>272</v>
      </c>
      <c r="D22" s="8"/>
      <c r="E22" s="8"/>
      <c r="F22" s="15"/>
      <c r="G22" s="10" t="s">
        <v>95</v>
      </c>
      <c r="H22" s="20" t="s">
        <v>19</v>
      </c>
      <c r="I22" s="20">
        <v>272</v>
      </c>
      <c r="J22" s="8"/>
      <c r="K22" s="8"/>
    </row>
    <row r="23" spans="1:11" ht="17.100000000000001" customHeight="1" x14ac:dyDescent="0.15">
      <c r="A23" s="10" t="s">
        <v>109</v>
      </c>
      <c r="B23" s="20" t="s">
        <v>184</v>
      </c>
      <c r="C23" s="21">
        <v>1.2</v>
      </c>
      <c r="D23" s="8"/>
      <c r="E23" s="8"/>
      <c r="F23" s="8"/>
      <c r="G23" s="10" t="s">
        <v>114</v>
      </c>
      <c r="H23" s="20" t="s">
        <v>184</v>
      </c>
      <c r="I23" s="21">
        <v>1.2</v>
      </c>
      <c r="J23" s="8"/>
      <c r="K23" s="8"/>
    </row>
    <row r="24" spans="1:11" ht="17.100000000000001" customHeight="1" x14ac:dyDescent="0.15">
      <c r="A24" s="10" t="s">
        <v>96</v>
      </c>
      <c r="B24" s="20" t="s">
        <v>195</v>
      </c>
      <c r="C24" s="21">
        <v>1.25</v>
      </c>
      <c r="D24" s="8"/>
      <c r="E24" s="8"/>
      <c r="F24" s="8"/>
      <c r="G24" s="10" t="s">
        <v>113</v>
      </c>
      <c r="H24" s="20" t="s">
        <v>185</v>
      </c>
      <c r="I24" s="21">
        <v>1</v>
      </c>
      <c r="J24" s="8"/>
      <c r="K24" s="8"/>
    </row>
    <row r="25" spans="1:11" ht="17.100000000000001" customHeight="1" x14ac:dyDescent="0.15">
      <c r="A25" s="50" t="s">
        <v>181</v>
      </c>
      <c r="B25" s="51"/>
      <c r="C25" s="16">
        <f>C22*C23*C24</f>
        <v>408</v>
      </c>
      <c r="D25" s="8"/>
      <c r="E25" s="8"/>
      <c r="F25" s="8"/>
      <c r="G25" s="45" t="s">
        <v>101</v>
      </c>
      <c r="H25" s="46"/>
      <c r="I25" s="16">
        <f>I22*I23*I24</f>
        <v>326.39999999999998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0</v>
      </c>
      <c r="C28" s="8"/>
      <c r="D28" s="8" t="s">
        <v>156</v>
      </c>
      <c r="E28" s="20">
        <v>35</v>
      </c>
      <c r="F28" s="8"/>
      <c r="G28" s="10" t="s">
        <v>60</v>
      </c>
      <c r="H28" s="3">
        <v>0</v>
      </c>
      <c r="I28" s="8"/>
      <c r="J28" s="8" t="s">
        <v>156</v>
      </c>
      <c r="K28" s="20">
        <v>35</v>
      </c>
    </row>
    <row r="29" spans="1:11" ht="17.100000000000001" customHeight="1" x14ac:dyDescent="0.15">
      <c r="A29" s="10" t="s">
        <v>102</v>
      </c>
      <c r="B29" s="3">
        <v>55000</v>
      </c>
      <c r="C29" s="8"/>
      <c r="D29" s="8"/>
      <c r="E29" s="8"/>
      <c r="F29" s="8"/>
      <c r="G29" s="10" t="s">
        <v>115</v>
      </c>
      <c r="H29" s="3">
        <v>80000</v>
      </c>
      <c r="I29" s="8"/>
      <c r="J29" s="8"/>
      <c r="K29" s="8"/>
    </row>
    <row r="30" spans="1:11" ht="17.100000000000001" customHeight="1" x14ac:dyDescent="0.15">
      <c r="A30" s="10" t="s">
        <v>119</v>
      </c>
      <c r="B30" s="3">
        <v>375</v>
      </c>
      <c r="C30" s="8"/>
      <c r="D30" s="8"/>
      <c r="E30" s="8"/>
      <c r="F30" s="8"/>
      <c r="G30" s="10" t="s">
        <v>161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121</v>
      </c>
      <c r="B31" s="16">
        <f>(B29-B28)/B30*E21</f>
        <v>3666.6666666666665</v>
      </c>
      <c r="C31" s="8"/>
      <c r="D31" s="8"/>
      <c r="E31" s="8"/>
      <c r="F31" s="8"/>
      <c r="G31" s="10" t="s">
        <v>116</v>
      </c>
      <c r="H31" s="16">
        <f>(H29-H28)/H30*K21</f>
        <v>5830.9037900874637</v>
      </c>
      <c r="I31" s="8"/>
      <c r="J31" s="8"/>
      <c r="K31" s="8"/>
    </row>
    <row r="32" spans="1:11" ht="15.75" x14ac:dyDescent="0.15">
      <c r="A32" s="6"/>
      <c r="B32" s="6"/>
      <c r="C32" s="6"/>
      <c r="D32" s="6"/>
      <c r="E32" s="6"/>
      <c r="F32" s="8"/>
      <c r="G32" s="30"/>
    </row>
    <row r="33" spans="1:11" ht="15.75" x14ac:dyDescent="0.15">
      <c r="A33" s="43" t="s">
        <v>166</v>
      </c>
      <c r="B33" s="44"/>
      <c r="C33" s="44"/>
      <c r="D33" s="44"/>
      <c r="E33" s="44"/>
      <c r="G33" s="43" t="s">
        <v>159</v>
      </c>
      <c r="H33" s="44"/>
      <c r="I33" s="44"/>
      <c r="J33" s="44"/>
      <c r="K33" s="44"/>
    </row>
    <row r="34" spans="1:11" ht="15.75" x14ac:dyDescent="0.15">
      <c r="A34" s="32" t="s">
        <v>167</v>
      </c>
      <c r="B34" s="32" t="s">
        <v>168</v>
      </c>
      <c r="C34" s="32" t="s">
        <v>1</v>
      </c>
      <c r="D34" s="32" t="s">
        <v>170</v>
      </c>
      <c r="E34" s="32" t="s">
        <v>171</v>
      </c>
      <c r="G34" s="32" t="s">
        <v>172</v>
      </c>
      <c r="H34" s="32" t="s">
        <v>173</v>
      </c>
      <c r="I34" s="32" t="s">
        <v>174</v>
      </c>
      <c r="J34" s="32" t="s">
        <v>175</v>
      </c>
      <c r="K34" s="32" t="s">
        <v>176</v>
      </c>
    </row>
    <row r="35" spans="1:11" x14ac:dyDescent="0.15">
      <c r="A35" s="33"/>
      <c r="B35" s="34"/>
      <c r="C35" s="34"/>
      <c r="D35" s="34"/>
      <c r="E35" s="35"/>
      <c r="G35" s="33"/>
      <c r="H35" s="34"/>
      <c r="I35" s="34"/>
      <c r="J35" s="34"/>
      <c r="K35" s="35"/>
    </row>
    <row r="36" spans="1:11" x14ac:dyDescent="0.15">
      <c r="A36" s="33"/>
      <c r="B36" s="34"/>
      <c r="C36" s="34"/>
      <c r="D36" s="34"/>
      <c r="E36" s="35"/>
      <c r="G36" s="33"/>
      <c r="H36" s="34"/>
      <c r="I36" s="34"/>
      <c r="J36" s="34"/>
      <c r="K36" s="35"/>
    </row>
    <row r="37" spans="1:11" x14ac:dyDescent="0.15">
      <c r="A37" s="33"/>
      <c r="B37" s="34"/>
      <c r="C37" s="34"/>
      <c r="D37" s="34"/>
      <c r="E37" s="35"/>
      <c r="G37" s="33"/>
      <c r="H37" s="34"/>
      <c r="I37" s="34"/>
      <c r="J37" s="34"/>
      <c r="K37" s="35"/>
    </row>
    <row r="38" spans="1:11" x14ac:dyDescent="0.15">
      <c r="A38" s="33"/>
      <c r="B38" s="34"/>
      <c r="C38" s="34"/>
      <c r="D38" s="34"/>
      <c r="E38" s="35"/>
      <c r="G38" s="33"/>
      <c r="H38" s="34"/>
      <c r="I38" s="34"/>
      <c r="J38" s="34"/>
      <c r="K38" s="35"/>
    </row>
    <row r="39" spans="1:11" x14ac:dyDescent="0.15">
      <c r="A39" s="33"/>
      <c r="B39" s="34"/>
      <c r="C39" s="34"/>
      <c r="D39" s="34"/>
      <c r="E39" s="35"/>
      <c r="G39" s="33"/>
      <c r="H39" s="34"/>
      <c r="I39" s="34"/>
      <c r="J39" s="34"/>
      <c r="K39" s="35"/>
    </row>
    <row r="40" spans="1:11" x14ac:dyDescent="0.15">
      <c r="A40" s="33"/>
      <c r="B40" s="34"/>
      <c r="C40" s="34"/>
      <c r="D40" s="34"/>
      <c r="E40" s="35"/>
      <c r="G40" s="33"/>
      <c r="H40" s="34"/>
      <c r="I40" s="34"/>
      <c r="J40" s="34"/>
      <c r="K40" s="35"/>
    </row>
    <row r="41" spans="1:11" x14ac:dyDescent="0.15">
      <c r="A41" s="33"/>
      <c r="B41" s="34"/>
      <c r="C41" s="34"/>
      <c r="D41" s="34"/>
      <c r="E41" s="35"/>
      <c r="G41" s="33"/>
      <c r="H41" s="34"/>
      <c r="I41" s="34"/>
      <c r="J41" s="34"/>
      <c r="K41" s="35"/>
    </row>
    <row r="42" spans="1:11" x14ac:dyDescent="0.15">
      <c r="A42" s="33"/>
      <c r="B42" s="34"/>
      <c r="C42" s="34"/>
      <c r="D42" s="34"/>
      <c r="E42" s="35"/>
      <c r="G42" s="33"/>
      <c r="H42" s="34"/>
      <c r="I42" s="34"/>
      <c r="J42" s="34"/>
      <c r="K42" s="35"/>
    </row>
    <row r="43" spans="1:11" x14ac:dyDescent="0.15">
      <c r="A43" s="33"/>
      <c r="B43" s="34"/>
      <c r="C43" s="34"/>
      <c r="D43" s="34"/>
      <c r="E43" s="35"/>
      <c r="G43" s="33"/>
      <c r="H43" s="34"/>
      <c r="I43" s="34"/>
      <c r="J43" s="34"/>
      <c r="K43" s="35"/>
    </row>
    <row r="44" spans="1:11" x14ac:dyDescent="0.15">
      <c r="A44" s="33"/>
      <c r="B44" s="34"/>
      <c r="C44" s="34"/>
      <c r="D44" s="34"/>
      <c r="E44" s="35"/>
      <c r="G44" s="33"/>
      <c r="H44" s="34"/>
      <c r="I44" s="34"/>
      <c r="J44" s="34"/>
      <c r="K44" s="35"/>
    </row>
    <row r="45" spans="1:11" x14ac:dyDescent="0.15">
      <c r="A45" s="39"/>
      <c r="B45" s="40"/>
      <c r="C45" s="40"/>
      <c r="D45" s="40"/>
      <c r="E45" s="41"/>
      <c r="G45" s="33"/>
      <c r="H45" s="34"/>
      <c r="I45" s="34"/>
      <c r="J45" s="34"/>
      <c r="K45" s="35"/>
    </row>
    <row r="46" spans="1:11" x14ac:dyDescent="0.15">
      <c r="A46" s="33"/>
      <c r="B46" s="34"/>
      <c r="C46" s="34"/>
      <c r="D46" s="34"/>
      <c r="E46" s="35"/>
      <c r="G46" s="33"/>
      <c r="H46" s="34"/>
      <c r="I46" s="34"/>
      <c r="J46" s="34"/>
      <c r="K46" s="35"/>
    </row>
    <row r="47" spans="1:11" x14ac:dyDescent="0.15">
      <c r="A47" s="33"/>
      <c r="B47" s="34"/>
      <c r="C47" s="34"/>
      <c r="D47" s="34"/>
      <c r="E47" s="35"/>
      <c r="G47" s="33"/>
      <c r="H47" s="34"/>
      <c r="I47" s="34"/>
      <c r="J47" s="34"/>
      <c r="K47" s="35"/>
    </row>
    <row r="48" spans="1:11" x14ac:dyDescent="0.15">
      <c r="A48" s="33"/>
      <c r="B48" s="34"/>
      <c r="C48" s="34"/>
      <c r="D48" s="34"/>
      <c r="E48" s="35"/>
      <c r="G48" s="33"/>
      <c r="H48" s="34"/>
      <c r="I48" s="34"/>
      <c r="J48" s="34"/>
      <c r="K48" s="35"/>
    </row>
    <row r="49" spans="1:11" x14ac:dyDescent="0.15">
      <c r="A49" s="33"/>
      <c r="B49" s="34"/>
      <c r="C49" s="34"/>
      <c r="D49" s="34"/>
      <c r="E49" s="35"/>
      <c r="G49" s="33"/>
      <c r="H49" s="34"/>
      <c r="I49" s="34"/>
      <c r="J49" s="34"/>
      <c r="K49" s="35"/>
    </row>
    <row r="50" spans="1:11" x14ac:dyDescent="0.15">
      <c r="A50" s="33"/>
      <c r="B50" s="34"/>
      <c r="C50" s="34"/>
      <c r="D50" s="34"/>
      <c r="E50" s="35"/>
      <c r="G50" s="33"/>
      <c r="H50" s="34"/>
      <c r="I50" s="34"/>
      <c r="J50" s="34"/>
      <c r="K50" s="35"/>
    </row>
    <row r="51" spans="1:11" x14ac:dyDescent="0.15">
      <c r="A51" s="33"/>
      <c r="B51" s="34"/>
      <c r="C51" s="34"/>
      <c r="D51" s="34"/>
      <c r="E51" s="35"/>
      <c r="G51" s="33"/>
      <c r="H51" s="34"/>
      <c r="I51" s="34"/>
      <c r="J51" s="34"/>
      <c r="K51" s="35"/>
    </row>
    <row r="52" spans="1:11" x14ac:dyDescent="0.15">
      <c r="A52" s="33"/>
      <c r="B52" s="34"/>
      <c r="C52" s="34"/>
      <c r="D52" s="34"/>
      <c r="E52" s="35"/>
      <c r="G52" s="33"/>
      <c r="H52" s="34"/>
      <c r="I52" s="34"/>
      <c r="J52" s="34"/>
      <c r="K52" s="35"/>
    </row>
    <row r="53" spans="1:11" x14ac:dyDescent="0.15">
      <c r="A53" s="33"/>
      <c r="B53" s="34"/>
      <c r="C53" s="34"/>
      <c r="D53" s="34"/>
      <c r="E53" s="35"/>
      <c r="G53" s="33"/>
      <c r="H53" s="34"/>
      <c r="I53" s="34"/>
      <c r="J53" s="34"/>
      <c r="K53" s="35"/>
    </row>
    <row r="54" spans="1:11" x14ac:dyDescent="0.15">
      <c r="A54" s="33"/>
      <c r="B54" s="34"/>
      <c r="C54" s="34"/>
      <c r="D54" s="34"/>
      <c r="E54" s="35"/>
      <c r="G54" s="33"/>
      <c r="H54" s="34"/>
      <c r="I54" s="34"/>
      <c r="J54" s="34"/>
      <c r="K54" s="35"/>
    </row>
    <row r="55" spans="1:11" x14ac:dyDescent="0.15">
      <c r="A55" s="33"/>
      <c r="B55" s="34"/>
      <c r="C55" s="34"/>
      <c r="D55" s="34"/>
      <c r="E55" s="35"/>
      <c r="G55" s="33"/>
      <c r="H55" s="34"/>
      <c r="I55" s="34"/>
      <c r="J55" s="34"/>
      <c r="K55" s="35"/>
    </row>
    <row r="56" spans="1:11" x14ac:dyDescent="0.15">
      <c r="A56" s="33"/>
      <c r="B56" s="34"/>
      <c r="C56" s="34"/>
      <c r="D56" s="34"/>
      <c r="E56" s="35"/>
      <c r="G56" s="33"/>
      <c r="H56" s="34"/>
      <c r="I56" s="34"/>
      <c r="J56" s="34"/>
      <c r="K56" s="35"/>
    </row>
    <row r="57" spans="1:11" x14ac:dyDescent="0.15">
      <c r="A57" s="33"/>
      <c r="B57" s="34"/>
      <c r="C57" s="34"/>
      <c r="D57" s="34"/>
      <c r="E57" s="35"/>
      <c r="G57" s="33"/>
      <c r="H57" s="34"/>
      <c r="I57" s="34"/>
      <c r="J57" s="34"/>
      <c r="K57" s="35"/>
    </row>
    <row r="58" spans="1:11" x14ac:dyDescent="0.15">
      <c r="A58" s="33"/>
      <c r="B58" s="34"/>
      <c r="C58" s="34"/>
      <c r="D58" s="34"/>
      <c r="E58" s="35"/>
      <c r="G58" s="33"/>
      <c r="H58" s="34"/>
      <c r="I58" s="34"/>
      <c r="J58" s="34"/>
      <c r="K58" s="35"/>
    </row>
    <row r="59" spans="1:11" x14ac:dyDescent="0.15">
      <c r="A59" s="33"/>
      <c r="B59" s="34"/>
      <c r="C59" s="34"/>
      <c r="D59" s="34"/>
      <c r="E59" s="35"/>
      <c r="G59" s="33"/>
      <c r="H59" s="34"/>
      <c r="I59" s="34"/>
      <c r="J59" s="34"/>
      <c r="K59" s="35"/>
    </row>
    <row r="60" spans="1:11" x14ac:dyDescent="0.15">
      <c r="A60" s="33"/>
      <c r="B60" s="34"/>
      <c r="C60" s="34"/>
      <c r="D60" s="34"/>
      <c r="E60" s="35"/>
      <c r="G60" s="33"/>
      <c r="H60" s="34"/>
      <c r="I60" s="34"/>
      <c r="J60" s="34"/>
      <c r="K60" s="35"/>
    </row>
    <row r="61" spans="1:11" x14ac:dyDescent="0.15">
      <c r="A61" s="33"/>
      <c r="B61" s="34"/>
      <c r="C61" s="34"/>
      <c r="D61" s="34"/>
      <c r="E61" s="35"/>
      <c r="G61" s="33"/>
      <c r="H61" s="34"/>
      <c r="I61" s="34"/>
      <c r="J61" s="34"/>
      <c r="K61" s="35"/>
    </row>
    <row r="62" spans="1:11" x14ac:dyDescent="0.15">
      <c r="A62" s="33"/>
      <c r="B62" s="34"/>
      <c r="C62" s="34"/>
      <c r="D62" s="34"/>
      <c r="E62" s="35"/>
      <c r="G62" s="33"/>
      <c r="H62" s="34"/>
      <c r="I62" s="34"/>
      <c r="J62" s="34"/>
      <c r="K62" s="35"/>
    </row>
    <row r="63" spans="1:11" x14ac:dyDescent="0.15">
      <c r="A63" s="33"/>
      <c r="B63" s="34"/>
      <c r="C63" s="34"/>
      <c r="D63" s="34"/>
      <c r="E63" s="35"/>
      <c r="G63" s="33"/>
      <c r="H63" s="34"/>
      <c r="I63" s="34"/>
      <c r="J63" s="34"/>
      <c r="K63" s="35"/>
    </row>
    <row r="64" spans="1:11" x14ac:dyDescent="0.15">
      <c r="A64" s="33"/>
      <c r="B64" s="34"/>
      <c r="C64" s="34"/>
      <c r="D64" s="34"/>
      <c r="E64" s="35"/>
      <c r="G64" s="33"/>
      <c r="H64" s="34"/>
      <c r="I64" s="34"/>
      <c r="J64" s="34"/>
      <c r="K64" s="35"/>
    </row>
    <row r="65" spans="1:11" x14ac:dyDescent="0.15">
      <c r="A65" s="33"/>
      <c r="B65" s="34"/>
      <c r="C65" s="34"/>
      <c r="D65" s="34"/>
      <c r="E65" s="35"/>
      <c r="G65" s="33"/>
      <c r="H65" s="34"/>
      <c r="I65" s="34"/>
      <c r="J65" s="34"/>
      <c r="K65" s="35"/>
    </row>
    <row r="66" spans="1:11" x14ac:dyDescent="0.15">
      <c r="A66" s="34"/>
      <c r="B66" s="34"/>
      <c r="C66" s="34"/>
      <c r="D66" s="34"/>
      <c r="E66" s="35"/>
      <c r="G66" s="33"/>
      <c r="H66" s="34"/>
      <c r="I66" s="34"/>
      <c r="J66" s="34"/>
      <c r="K66" s="35"/>
    </row>
    <row r="67" spans="1:11" x14ac:dyDescent="0.15">
      <c r="A67" s="34"/>
      <c r="B67" s="34"/>
      <c r="C67" s="34"/>
      <c r="D67" s="34"/>
      <c r="E67" s="35"/>
      <c r="G67" s="33"/>
      <c r="H67" s="34"/>
      <c r="I67" s="34"/>
      <c r="J67" s="34"/>
      <c r="K67" s="35"/>
    </row>
    <row r="68" spans="1:11" x14ac:dyDescent="0.15">
      <c r="A68" s="34"/>
      <c r="B68" s="34"/>
      <c r="C68" s="34"/>
      <c r="D68" s="34"/>
      <c r="E68" s="35"/>
      <c r="G68" s="33"/>
      <c r="H68" s="34"/>
      <c r="I68" s="34"/>
      <c r="J68" s="34"/>
      <c r="K68" s="35"/>
    </row>
    <row r="69" spans="1:11" x14ac:dyDescent="0.15">
      <c r="A69" s="34"/>
      <c r="B69" s="34"/>
      <c r="C69" s="34"/>
      <c r="D69" s="34"/>
      <c r="E69" s="35"/>
      <c r="G69" s="33"/>
      <c r="H69" s="34"/>
      <c r="I69" s="34"/>
      <c r="J69" s="34"/>
      <c r="K69" s="35"/>
    </row>
    <row r="70" spans="1:11" x14ac:dyDescent="0.15">
      <c r="A70" s="34"/>
      <c r="B70" s="34"/>
      <c r="C70" s="34"/>
      <c r="D70" s="34"/>
      <c r="E70" s="35"/>
      <c r="G70" s="33"/>
      <c r="H70" s="34"/>
      <c r="I70" s="34"/>
      <c r="J70" s="34"/>
      <c r="K70" s="35"/>
    </row>
    <row r="71" spans="1:11" x14ac:dyDescent="0.15">
      <c r="A71" s="34"/>
      <c r="B71" s="34"/>
      <c r="C71" s="34"/>
      <c r="D71" s="34"/>
      <c r="E71" s="35"/>
      <c r="G71" s="33"/>
      <c r="H71" s="34"/>
      <c r="I71" s="34"/>
      <c r="J71" s="34"/>
      <c r="K71" s="35"/>
    </row>
    <row r="72" spans="1:11" x14ac:dyDescent="0.15">
      <c r="A72" s="34"/>
      <c r="B72" s="34"/>
      <c r="C72" s="34"/>
      <c r="D72" s="34"/>
      <c r="E72" s="35"/>
      <c r="G72" s="33"/>
      <c r="H72" s="34"/>
      <c r="I72" s="34"/>
      <c r="J72" s="34"/>
      <c r="K72" s="35"/>
    </row>
    <row r="73" spans="1:11" x14ac:dyDescent="0.15">
      <c r="A73" s="34"/>
      <c r="B73" s="34"/>
      <c r="C73" s="34"/>
      <c r="D73" s="34"/>
      <c r="E73" s="35"/>
      <c r="G73" s="33"/>
      <c r="H73" s="34"/>
      <c r="I73" s="34"/>
      <c r="J73" s="34"/>
      <c r="K73" s="35"/>
    </row>
    <row r="74" spans="1:11" x14ac:dyDescent="0.15">
      <c r="A74" s="34"/>
      <c r="B74" s="34"/>
      <c r="C74" s="34"/>
      <c r="D74" s="34"/>
      <c r="E74" s="34"/>
      <c r="G74" s="33"/>
      <c r="H74" s="34"/>
      <c r="I74" s="34"/>
      <c r="J74" s="34"/>
      <c r="K74" s="35"/>
    </row>
    <row r="75" spans="1:11" x14ac:dyDescent="0.15">
      <c r="A75" s="34"/>
      <c r="B75" s="34"/>
      <c r="C75" s="34"/>
      <c r="D75" s="34"/>
      <c r="E75" s="34"/>
      <c r="G75" s="33"/>
      <c r="H75" s="34"/>
      <c r="I75" s="34"/>
      <c r="J75" s="34"/>
      <c r="K75" s="35"/>
    </row>
    <row r="76" spans="1:11" x14ac:dyDescent="0.15">
      <c r="A76" s="34"/>
      <c r="B76" s="34"/>
      <c r="C76" s="34"/>
      <c r="D76" s="34"/>
      <c r="E76" s="34"/>
      <c r="G76" s="33"/>
      <c r="H76" s="34"/>
      <c r="I76" s="34"/>
      <c r="J76" s="34"/>
      <c r="K76" s="35"/>
    </row>
    <row r="77" spans="1:11" x14ac:dyDescent="0.15">
      <c r="A77" s="34"/>
      <c r="B77" s="34"/>
      <c r="C77" s="34"/>
      <c r="D77" s="34"/>
      <c r="E77" s="34"/>
      <c r="G77" s="33"/>
      <c r="H77" s="34"/>
      <c r="I77" s="34"/>
      <c r="J77" s="34"/>
      <c r="K77" s="35"/>
    </row>
    <row r="78" spans="1:11" x14ac:dyDescent="0.15">
      <c r="A78" s="34"/>
      <c r="B78" s="34"/>
      <c r="C78" s="34"/>
      <c r="D78" s="34"/>
      <c r="E78" s="34"/>
      <c r="G78" s="33"/>
      <c r="H78" s="34"/>
      <c r="I78" s="34"/>
      <c r="J78" s="34"/>
      <c r="K78" s="35"/>
    </row>
    <row r="79" spans="1:11" x14ac:dyDescent="0.15">
      <c r="A79" s="34"/>
      <c r="B79" s="34"/>
      <c r="C79" s="34"/>
      <c r="D79" s="34"/>
      <c r="E79" s="34"/>
      <c r="G79" s="33"/>
      <c r="H79" s="34"/>
      <c r="I79" s="34"/>
      <c r="J79" s="34"/>
      <c r="K79" s="35"/>
    </row>
    <row r="80" spans="1:11" x14ac:dyDescent="0.15">
      <c r="A80" s="34"/>
      <c r="B80" s="34"/>
      <c r="C80" s="34"/>
      <c r="D80" s="34"/>
      <c r="E80" s="34"/>
      <c r="G80" s="33"/>
      <c r="H80" s="34"/>
      <c r="I80" s="34"/>
      <c r="J80" s="34"/>
      <c r="K80" s="35"/>
    </row>
    <row r="81" spans="1:11" x14ac:dyDescent="0.15">
      <c r="A81" s="34"/>
      <c r="B81" s="34"/>
      <c r="C81" s="34"/>
      <c r="D81" s="34"/>
      <c r="E81" s="34"/>
      <c r="G81" s="33"/>
      <c r="H81" s="34"/>
      <c r="I81" s="34"/>
      <c r="J81" s="34"/>
      <c r="K81" s="35"/>
    </row>
    <row r="82" spans="1:11" x14ac:dyDescent="0.15">
      <c r="A82" s="34"/>
      <c r="B82" s="34"/>
      <c r="C82" s="34"/>
      <c r="D82" s="34"/>
      <c r="E82" s="34"/>
      <c r="G82" s="33"/>
      <c r="H82" s="34"/>
      <c r="I82" s="34"/>
      <c r="J82" s="34"/>
      <c r="K82" s="35"/>
    </row>
    <row r="83" spans="1:11" x14ac:dyDescent="0.15">
      <c r="A83" s="34"/>
      <c r="B83" s="34"/>
      <c r="C83" s="34"/>
      <c r="D83" s="34"/>
      <c r="E83" s="34"/>
      <c r="G83" s="33"/>
      <c r="H83" s="34"/>
      <c r="I83" s="34"/>
      <c r="J83" s="34"/>
      <c r="K83" s="35"/>
    </row>
    <row r="84" spans="1:11" x14ac:dyDescent="0.15">
      <c r="A84" s="34"/>
      <c r="B84" s="34"/>
      <c r="C84" s="34"/>
      <c r="D84" s="34"/>
      <c r="E84" s="34"/>
      <c r="G84" s="33"/>
      <c r="H84" s="34"/>
      <c r="I84" s="34"/>
      <c r="J84" s="34"/>
      <c r="K84" s="35"/>
    </row>
    <row r="85" spans="1:11" x14ac:dyDescent="0.15">
      <c r="A85" s="34"/>
      <c r="B85" s="34"/>
      <c r="C85" s="34"/>
      <c r="D85" s="34"/>
      <c r="E85" s="34"/>
      <c r="G85" s="33"/>
      <c r="H85" s="34"/>
      <c r="I85" s="34"/>
      <c r="J85" s="34"/>
      <c r="K85" s="35"/>
    </row>
    <row r="86" spans="1:11" x14ac:dyDescent="0.15">
      <c r="A86" s="34"/>
      <c r="B86" s="34"/>
      <c r="C86" s="34"/>
      <c r="D86" s="34"/>
      <c r="E86" s="34"/>
      <c r="G86" s="33"/>
      <c r="H86" s="34"/>
      <c r="I86" s="34"/>
      <c r="J86" s="34"/>
      <c r="K86" s="35"/>
    </row>
    <row r="87" spans="1:11" x14ac:dyDescent="0.15">
      <c r="A87" s="34"/>
      <c r="B87" s="34"/>
      <c r="C87" s="34"/>
      <c r="D87" s="34"/>
      <c r="E87" s="34"/>
      <c r="G87" s="33"/>
      <c r="H87" s="34"/>
      <c r="I87" s="34"/>
      <c r="J87" s="34"/>
      <c r="K87" s="35"/>
    </row>
    <row r="88" spans="1:11" x14ac:dyDescent="0.15">
      <c r="A88" s="34"/>
      <c r="B88" s="34"/>
      <c r="C88" s="34"/>
      <c r="D88" s="34"/>
      <c r="E88" s="34"/>
      <c r="G88" s="33"/>
      <c r="H88" s="34"/>
      <c r="I88" s="34"/>
      <c r="J88" s="34"/>
      <c r="K88" s="35"/>
    </row>
    <row r="89" spans="1:11" x14ac:dyDescent="0.15">
      <c r="A89" s="34"/>
      <c r="B89" s="34"/>
      <c r="C89" s="34"/>
      <c r="D89" s="34"/>
      <c r="E89" s="34"/>
      <c r="G89" s="33"/>
      <c r="H89" s="34"/>
      <c r="I89" s="34"/>
      <c r="J89" s="34"/>
      <c r="K89" s="35"/>
    </row>
    <row r="90" spans="1:11" x14ac:dyDescent="0.15">
      <c r="A90" s="34"/>
      <c r="B90" s="34"/>
      <c r="C90" s="34"/>
      <c r="D90" s="34"/>
      <c r="E90" s="34"/>
      <c r="G90" s="33"/>
      <c r="H90" s="34"/>
      <c r="I90" s="34"/>
      <c r="J90" s="34"/>
      <c r="K90" s="35"/>
    </row>
    <row r="91" spans="1:11" x14ac:dyDescent="0.15">
      <c r="A91" s="34"/>
      <c r="B91" s="34"/>
      <c r="C91" s="34"/>
      <c r="D91" s="34"/>
      <c r="E91" s="34"/>
      <c r="G91" s="33"/>
      <c r="H91" s="34"/>
      <c r="I91" s="34"/>
      <c r="J91" s="34"/>
      <c r="K91" s="35"/>
    </row>
    <row r="92" spans="1:11" x14ac:dyDescent="0.15">
      <c r="A92" s="34"/>
      <c r="B92" s="34"/>
      <c r="C92" s="34"/>
      <c r="D92" s="34"/>
      <c r="E92" s="34"/>
      <c r="G92" s="33"/>
      <c r="H92" s="34"/>
      <c r="I92" s="34"/>
      <c r="J92" s="34"/>
      <c r="K92" s="35"/>
    </row>
    <row r="93" spans="1:11" x14ac:dyDescent="0.15">
      <c r="A93" s="34"/>
      <c r="B93" s="34"/>
      <c r="C93" s="34"/>
      <c r="D93" s="34"/>
      <c r="E93" s="34"/>
      <c r="G93" s="33"/>
      <c r="H93" s="34"/>
      <c r="I93" s="34"/>
      <c r="J93" s="34"/>
      <c r="K93" s="35"/>
    </row>
    <row r="94" spans="1:11" x14ac:dyDescent="0.15">
      <c r="A94" s="34"/>
      <c r="B94" s="34"/>
      <c r="C94" s="34"/>
      <c r="D94" s="34"/>
      <c r="E94" s="34"/>
      <c r="G94" s="33"/>
      <c r="H94" s="34"/>
      <c r="I94" s="34"/>
      <c r="J94" s="34"/>
      <c r="K94" s="35"/>
    </row>
    <row r="95" spans="1:11" x14ac:dyDescent="0.15">
      <c r="A95" s="34"/>
      <c r="B95" s="34"/>
      <c r="C95" s="34"/>
      <c r="D95" s="34"/>
      <c r="E95" s="34"/>
      <c r="G95" s="33"/>
      <c r="H95" s="34"/>
      <c r="I95" s="34"/>
      <c r="J95" s="34"/>
      <c r="K95" s="35"/>
    </row>
    <row r="96" spans="1:11" x14ac:dyDescent="0.15">
      <c r="A96" s="34"/>
      <c r="B96" s="34"/>
      <c r="C96" s="34"/>
      <c r="D96" s="34"/>
      <c r="E96" s="34"/>
      <c r="G96" s="33"/>
      <c r="H96" s="34"/>
      <c r="I96" s="34"/>
      <c r="J96" s="34"/>
      <c r="K96" s="35"/>
    </row>
    <row r="97" spans="1:11" x14ac:dyDescent="0.15">
      <c r="A97" s="34"/>
      <c r="B97" s="34"/>
      <c r="C97" s="34"/>
      <c r="D97" s="34"/>
      <c r="E97" s="34"/>
      <c r="G97" s="33"/>
      <c r="H97" s="34"/>
      <c r="I97" s="34"/>
      <c r="J97" s="34"/>
      <c r="K97" s="35"/>
    </row>
    <row r="98" spans="1:11" x14ac:dyDescent="0.15">
      <c r="A98" s="34"/>
      <c r="B98" s="34"/>
      <c r="C98" s="34"/>
      <c r="D98" s="34"/>
      <c r="E98" s="34"/>
      <c r="G98" s="33"/>
      <c r="H98" s="34"/>
      <c r="I98" s="34"/>
      <c r="J98" s="34"/>
      <c r="K98" s="35"/>
    </row>
    <row r="99" spans="1:11" x14ac:dyDescent="0.15">
      <c r="A99" s="34"/>
      <c r="B99" s="34"/>
      <c r="C99" s="34"/>
      <c r="D99" s="34"/>
      <c r="E99" s="34"/>
      <c r="G99" s="33"/>
      <c r="H99" s="34"/>
      <c r="I99" s="34"/>
      <c r="J99" s="34"/>
      <c r="K99" s="35"/>
    </row>
    <row r="100" spans="1:11" x14ac:dyDescent="0.15">
      <c r="A100" s="34"/>
      <c r="B100" s="34"/>
      <c r="C100" s="34"/>
      <c r="D100" s="34"/>
      <c r="E100" s="34"/>
      <c r="G100" s="33"/>
      <c r="H100" s="34"/>
      <c r="I100" s="34"/>
      <c r="J100" s="34"/>
      <c r="K100" s="35"/>
    </row>
    <row r="101" spans="1:11" x14ac:dyDescent="0.15">
      <c r="A101" s="34"/>
      <c r="B101" s="34"/>
      <c r="C101" s="34"/>
      <c r="D101" s="34"/>
      <c r="E101" s="34"/>
      <c r="G101" s="33"/>
      <c r="H101" s="34"/>
      <c r="I101" s="34"/>
      <c r="J101" s="34"/>
      <c r="K101" s="35"/>
    </row>
    <row r="102" spans="1:11" x14ac:dyDescent="0.15">
      <c r="A102" s="34"/>
      <c r="B102" s="34"/>
      <c r="C102" s="34"/>
      <c r="D102" s="34"/>
      <c r="E102" s="34"/>
      <c r="G102" s="33"/>
      <c r="H102" s="34"/>
      <c r="I102" s="34"/>
      <c r="J102" s="34"/>
      <c r="K102" s="35"/>
    </row>
    <row r="103" spans="1:11" x14ac:dyDescent="0.15">
      <c r="A103" s="34"/>
      <c r="B103" s="34"/>
      <c r="C103" s="34"/>
      <c r="D103" s="34"/>
      <c r="E103" s="34"/>
      <c r="G103" s="33"/>
      <c r="H103" s="34"/>
      <c r="I103" s="34"/>
      <c r="J103" s="34"/>
      <c r="K103" s="35"/>
    </row>
    <row r="104" spans="1:11" x14ac:dyDescent="0.15">
      <c r="A104" s="34"/>
      <c r="B104" s="34"/>
      <c r="C104" s="34"/>
      <c r="D104" s="34"/>
      <c r="E104" s="34"/>
      <c r="G104" s="33"/>
      <c r="H104" s="34"/>
      <c r="I104" s="34"/>
      <c r="J104" s="34"/>
      <c r="K104" s="35"/>
    </row>
    <row r="105" spans="1:11" x14ac:dyDescent="0.15">
      <c r="A105" s="34"/>
      <c r="B105" s="34"/>
      <c r="C105" s="34"/>
      <c r="D105" s="34"/>
      <c r="E105" s="34"/>
      <c r="G105" s="33"/>
      <c r="H105" s="34"/>
      <c r="I105" s="34"/>
      <c r="J105" s="34"/>
      <c r="K105" s="35"/>
    </row>
    <row r="106" spans="1:11" x14ac:dyDescent="0.15">
      <c r="A106" s="34"/>
      <c r="B106" s="34"/>
      <c r="C106" s="34"/>
      <c r="D106" s="34"/>
      <c r="E106" s="34"/>
      <c r="G106" s="33"/>
      <c r="H106" s="34"/>
      <c r="I106" s="34"/>
      <c r="J106" s="34"/>
      <c r="K106" s="35"/>
    </row>
    <row r="107" spans="1:11" x14ac:dyDescent="0.15">
      <c r="A107" s="34"/>
      <c r="B107" s="34"/>
      <c r="C107" s="34"/>
      <c r="D107" s="34"/>
      <c r="E107" s="34"/>
      <c r="G107" s="33"/>
      <c r="H107" s="34"/>
      <c r="I107" s="34"/>
      <c r="J107" s="34"/>
      <c r="K107" s="35"/>
    </row>
    <row r="108" spans="1:11" x14ac:dyDescent="0.15">
      <c r="A108" s="34"/>
      <c r="B108" s="34"/>
      <c r="C108" s="34"/>
      <c r="D108" s="34"/>
      <c r="E108" s="34"/>
      <c r="G108" s="33"/>
      <c r="H108" s="34"/>
      <c r="I108" s="34"/>
      <c r="J108" s="34"/>
      <c r="K108" s="35"/>
    </row>
    <row r="109" spans="1:11" x14ac:dyDescent="0.15">
      <c r="A109" s="34"/>
      <c r="B109" s="34"/>
      <c r="C109" s="34"/>
      <c r="D109" s="34"/>
      <c r="E109" s="34"/>
      <c r="G109" s="33"/>
      <c r="H109" s="34"/>
      <c r="I109" s="34"/>
      <c r="J109" s="34"/>
      <c r="K109" s="35"/>
    </row>
    <row r="110" spans="1:11" x14ac:dyDescent="0.15">
      <c r="A110" s="34"/>
      <c r="B110" s="34"/>
      <c r="C110" s="34"/>
      <c r="D110" s="34"/>
      <c r="E110" s="34"/>
      <c r="G110" s="33"/>
      <c r="H110" s="34"/>
      <c r="I110" s="34"/>
      <c r="J110" s="34"/>
      <c r="K110" s="35"/>
    </row>
    <row r="111" spans="1:11" x14ac:dyDescent="0.15">
      <c r="A111" s="34"/>
      <c r="B111" s="34"/>
      <c r="C111" s="34"/>
      <c r="D111" s="34"/>
      <c r="E111" s="34"/>
      <c r="G111" s="33"/>
      <c r="H111" s="34"/>
      <c r="I111" s="34"/>
      <c r="J111" s="34"/>
      <c r="K111" s="35"/>
    </row>
    <row r="112" spans="1:11" x14ac:dyDescent="0.15">
      <c r="A112" s="34"/>
      <c r="B112" s="34"/>
      <c r="C112" s="34"/>
      <c r="D112" s="34"/>
      <c r="E112" s="34"/>
      <c r="G112" s="33"/>
      <c r="H112" s="34"/>
      <c r="I112" s="34"/>
      <c r="J112" s="34"/>
      <c r="K112" s="35"/>
    </row>
    <row r="113" spans="1:11" x14ac:dyDescent="0.15">
      <c r="A113" s="34"/>
      <c r="B113" s="34"/>
      <c r="C113" s="34"/>
      <c r="D113" s="34"/>
      <c r="E113" s="34"/>
      <c r="G113" s="33"/>
      <c r="H113" s="34"/>
      <c r="I113" s="34"/>
      <c r="J113" s="34"/>
      <c r="K113" s="35"/>
    </row>
    <row r="114" spans="1:11" x14ac:dyDescent="0.15">
      <c r="A114" s="34"/>
      <c r="B114" s="34"/>
      <c r="C114" s="34"/>
      <c r="D114" s="34"/>
      <c r="E114" s="34"/>
      <c r="G114" s="33"/>
      <c r="H114" s="34"/>
      <c r="I114" s="34"/>
      <c r="J114" s="34"/>
      <c r="K114" s="35"/>
    </row>
    <row r="115" spans="1:11" x14ac:dyDescent="0.15">
      <c r="A115" s="34"/>
      <c r="B115" s="34"/>
      <c r="C115" s="34"/>
      <c r="D115" s="34"/>
      <c r="E115" s="34"/>
      <c r="G115" s="33"/>
      <c r="H115" s="34"/>
      <c r="I115" s="34"/>
      <c r="J115" s="34"/>
      <c r="K115" s="35"/>
    </row>
    <row r="116" spans="1:11" x14ac:dyDescent="0.15">
      <c r="A116" s="34"/>
      <c r="B116" s="34"/>
      <c r="C116" s="34"/>
      <c r="D116" s="34"/>
      <c r="E116" s="34"/>
      <c r="G116" s="33"/>
      <c r="H116" s="34"/>
      <c r="I116" s="34"/>
      <c r="J116" s="34"/>
      <c r="K116" s="35"/>
    </row>
    <row r="117" spans="1:11" x14ac:dyDescent="0.15">
      <c r="A117" s="34"/>
      <c r="B117" s="34"/>
      <c r="C117" s="34"/>
      <c r="D117" s="34"/>
      <c r="E117" s="34"/>
      <c r="G117" s="33"/>
      <c r="H117" s="34"/>
      <c r="I117" s="34"/>
      <c r="J117" s="34"/>
      <c r="K117" s="35"/>
    </row>
    <row r="118" spans="1:11" x14ac:dyDescent="0.15">
      <c r="A118" s="34"/>
      <c r="B118" s="34"/>
      <c r="C118" s="34"/>
      <c r="D118" s="34"/>
      <c r="E118" s="34"/>
      <c r="G118" s="33"/>
      <c r="H118" s="34"/>
      <c r="I118" s="34"/>
      <c r="J118" s="34"/>
      <c r="K118" s="35"/>
    </row>
    <row r="119" spans="1:11" x14ac:dyDescent="0.15">
      <c r="A119" s="34"/>
      <c r="B119" s="34"/>
      <c r="C119" s="34"/>
      <c r="D119" s="34"/>
      <c r="E119" s="34"/>
      <c r="G119" s="33"/>
      <c r="H119" s="34"/>
      <c r="I119" s="34"/>
      <c r="J119" s="34"/>
      <c r="K119" s="35"/>
    </row>
    <row r="120" spans="1:11" x14ac:dyDescent="0.15">
      <c r="A120" s="34"/>
      <c r="B120" s="34"/>
      <c r="C120" s="34"/>
      <c r="D120" s="34"/>
      <c r="E120" s="34"/>
      <c r="G120" s="33"/>
      <c r="H120" s="34"/>
      <c r="I120" s="34"/>
      <c r="J120" s="34"/>
      <c r="K120" s="35"/>
    </row>
    <row r="121" spans="1:11" x14ac:dyDescent="0.15">
      <c r="A121" s="34"/>
      <c r="B121" s="34"/>
      <c r="C121" s="34"/>
      <c r="D121" s="34"/>
      <c r="E121" s="34"/>
      <c r="G121" s="33"/>
      <c r="H121" s="34"/>
      <c r="I121" s="34"/>
      <c r="J121" s="34"/>
      <c r="K121" s="35"/>
    </row>
    <row r="122" spans="1:11" x14ac:dyDescent="0.15">
      <c r="A122" s="34"/>
      <c r="B122" s="34"/>
      <c r="C122" s="34"/>
      <c r="D122" s="34"/>
      <c r="E122" s="34"/>
      <c r="G122" s="33"/>
      <c r="H122" s="34"/>
      <c r="I122" s="34"/>
      <c r="J122" s="34"/>
      <c r="K122" s="35"/>
    </row>
    <row r="123" spans="1:11" x14ac:dyDescent="0.15">
      <c r="A123" s="34"/>
      <c r="B123" s="34"/>
      <c r="C123" s="34"/>
      <c r="D123" s="34"/>
      <c r="E123" s="34"/>
      <c r="G123" s="33"/>
      <c r="H123" s="34"/>
      <c r="I123" s="34"/>
      <c r="J123" s="34"/>
      <c r="K123" s="35"/>
    </row>
    <row r="124" spans="1:11" x14ac:dyDescent="0.15">
      <c r="A124" s="34"/>
      <c r="B124" s="34"/>
      <c r="C124" s="34"/>
      <c r="D124" s="34"/>
      <c r="E124" s="34"/>
      <c r="G124" s="33"/>
      <c r="H124" s="34"/>
      <c r="I124" s="34"/>
      <c r="J124" s="34"/>
      <c r="K124" s="35"/>
    </row>
    <row r="125" spans="1:11" x14ac:dyDescent="0.15">
      <c r="A125" s="34"/>
      <c r="B125" s="34"/>
      <c r="C125" s="34"/>
      <c r="D125" s="34"/>
      <c r="E125" s="34"/>
      <c r="G125" s="33"/>
      <c r="H125" s="34"/>
      <c r="I125" s="34"/>
      <c r="J125" s="34"/>
      <c r="K125" s="35"/>
    </row>
    <row r="126" spans="1:11" x14ac:dyDescent="0.15">
      <c r="A126" s="34"/>
      <c r="B126" s="34"/>
      <c r="C126" s="34"/>
      <c r="D126" s="34"/>
      <c r="E126" s="34"/>
      <c r="G126" s="33"/>
      <c r="H126" s="34"/>
      <c r="I126" s="34"/>
      <c r="J126" s="34"/>
      <c r="K126" s="35"/>
    </row>
    <row r="127" spans="1:11" x14ac:dyDescent="0.15">
      <c r="A127" s="34"/>
      <c r="B127" s="34"/>
      <c r="C127" s="34"/>
      <c r="D127" s="34"/>
      <c r="E127" s="34"/>
      <c r="G127" s="33"/>
      <c r="H127" s="34"/>
      <c r="I127" s="34"/>
      <c r="J127" s="34"/>
      <c r="K127" s="35"/>
    </row>
    <row r="128" spans="1:11" x14ac:dyDescent="0.15">
      <c r="A128" s="34"/>
      <c r="B128" s="34"/>
      <c r="C128" s="34"/>
      <c r="D128" s="34"/>
      <c r="E128" s="34"/>
      <c r="G128" s="33"/>
      <c r="H128" s="34"/>
      <c r="I128" s="34"/>
      <c r="J128" s="34"/>
      <c r="K128" s="35"/>
    </row>
    <row r="129" spans="1:11" x14ac:dyDescent="0.15">
      <c r="A129" s="34"/>
      <c r="B129" s="34"/>
      <c r="C129" s="34"/>
      <c r="D129" s="34"/>
      <c r="E129" s="34"/>
      <c r="G129" s="33"/>
      <c r="H129" s="34"/>
      <c r="I129" s="34"/>
      <c r="J129" s="34"/>
      <c r="K129" s="35"/>
    </row>
    <row r="130" spans="1:11" x14ac:dyDescent="0.15">
      <c r="A130" s="34"/>
      <c r="B130" s="34"/>
      <c r="C130" s="34"/>
      <c r="D130" s="34"/>
      <c r="E130" s="34"/>
      <c r="G130" s="33"/>
      <c r="H130" s="34"/>
      <c r="I130" s="34"/>
      <c r="J130" s="34"/>
      <c r="K130" s="35"/>
    </row>
    <row r="131" spans="1:11" x14ac:dyDescent="0.15">
      <c r="A131" s="34"/>
      <c r="B131" s="34"/>
      <c r="C131" s="34"/>
      <c r="D131" s="34"/>
      <c r="E131" s="34"/>
      <c r="G131" s="33"/>
      <c r="H131" s="34"/>
      <c r="I131" s="34"/>
      <c r="J131" s="34"/>
      <c r="K131" s="35"/>
    </row>
    <row r="132" spans="1:11" x14ac:dyDescent="0.15">
      <c r="A132" s="34"/>
      <c r="B132" s="34"/>
      <c r="C132" s="34"/>
      <c r="D132" s="34"/>
      <c r="E132" s="34"/>
      <c r="G132" s="33"/>
      <c r="H132" s="34"/>
      <c r="I132" s="34"/>
      <c r="J132" s="34"/>
      <c r="K132" s="35"/>
    </row>
    <row r="133" spans="1:11" x14ac:dyDescent="0.15">
      <c r="A133" s="34"/>
      <c r="B133" s="34"/>
      <c r="C133" s="34"/>
      <c r="D133" s="34"/>
      <c r="E133" s="34"/>
      <c r="G133" s="34"/>
      <c r="H133" s="34"/>
      <c r="I133" s="34"/>
      <c r="J133" s="34"/>
      <c r="K133" s="35"/>
    </row>
    <row r="134" spans="1:11" x14ac:dyDescent="0.15">
      <c r="A134" s="34"/>
      <c r="B134" s="34"/>
      <c r="C134" s="34"/>
      <c r="D134" s="34"/>
      <c r="E134" s="34"/>
      <c r="G134" s="34"/>
      <c r="H134" s="34"/>
      <c r="I134" s="34"/>
      <c r="J134" s="34"/>
      <c r="K134" s="35"/>
    </row>
    <row r="135" spans="1:11" x14ac:dyDescent="0.15">
      <c r="A135" s="34"/>
      <c r="B135" s="34"/>
      <c r="C135" s="34"/>
      <c r="D135" s="34"/>
      <c r="E135" s="34"/>
      <c r="G135" s="34"/>
      <c r="H135" s="34"/>
      <c r="I135" s="34"/>
      <c r="J135" s="34"/>
      <c r="K135" s="35"/>
    </row>
    <row r="136" spans="1:11" x14ac:dyDescent="0.15">
      <c r="A136" s="34"/>
      <c r="B136" s="34"/>
      <c r="C136" s="34"/>
      <c r="D136" s="34"/>
      <c r="E136" s="34"/>
      <c r="G136" s="34"/>
      <c r="H136" s="34"/>
      <c r="I136" s="34"/>
      <c r="J136" s="34"/>
      <c r="K136" s="35"/>
    </row>
    <row r="137" spans="1:11" x14ac:dyDescent="0.15">
      <c r="A137" s="34"/>
      <c r="B137" s="34"/>
      <c r="C137" s="34"/>
      <c r="D137" s="34"/>
      <c r="E137" s="34"/>
      <c r="G137" s="34"/>
      <c r="H137" s="34"/>
      <c r="I137" s="34"/>
      <c r="J137" s="34"/>
      <c r="K137" s="35"/>
    </row>
    <row r="138" spans="1:11" x14ac:dyDescent="0.15">
      <c r="A138" s="34"/>
      <c r="B138" s="34"/>
      <c r="C138" s="34"/>
      <c r="D138" s="34"/>
      <c r="E138" s="34"/>
      <c r="G138" s="34"/>
      <c r="H138" s="34"/>
      <c r="I138" s="34"/>
      <c r="J138" s="34"/>
      <c r="K138" s="35"/>
    </row>
    <row r="139" spans="1:11" x14ac:dyDescent="0.15">
      <c r="A139" s="34"/>
      <c r="B139" s="34"/>
      <c r="C139" s="34"/>
      <c r="D139" s="34"/>
      <c r="E139" s="34"/>
      <c r="G139" s="34"/>
      <c r="H139" s="34"/>
      <c r="I139" s="34"/>
      <c r="J139" s="34"/>
      <c r="K139" s="35"/>
    </row>
    <row r="140" spans="1:11" x14ac:dyDescent="0.15">
      <c r="A140" s="34"/>
      <c r="B140" s="34"/>
      <c r="C140" s="34"/>
      <c r="D140" s="34"/>
      <c r="E140" s="34"/>
      <c r="G140" s="34"/>
      <c r="H140" s="34"/>
      <c r="I140" s="34"/>
      <c r="J140" s="34"/>
      <c r="K140" s="35"/>
    </row>
    <row r="141" spans="1:11" x14ac:dyDescent="0.15">
      <c r="A141" s="34"/>
      <c r="B141" s="34"/>
      <c r="C141" s="34"/>
      <c r="D141" s="34"/>
      <c r="E141" s="34"/>
      <c r="G141" s="34"/>
      <c r="H141" s="34"/>
      <c r="I141" s="34"/>
      <c r="J141" s="34"/>
      <c r="K141" s="35"/>
    </row>
    <row r="142" spans="1:11" x14ac:dyDescent="0.15">
      <c r="A142" s="34"/>
      <c r="B142" s="34"/>
      <c r="C142" s="34"/>
      <c r="D142" s="34"/>
      <c r="E142" s="34"/>
      <c r="G142" s="34"/>
      <c r="H142" s="34"/>
      <c r="I142" s="34"/>
      <c r="J142" s="34"/>
      <c r="K142" s="35"/>
    </row>
    <row r="143" spans="1:11" x14ac:dyDescent="0.15">
      <c r="A143" s="34"/>
      <c r="B143" s="34"/>
      <c r="C143" s="34"/>
      <c r="D143" s="34"/>
      <c r="E143" s="34"/>
      <c r="G143" s="34"/>
      <c r="H143" s="34"/>
      <c r="I143" s="34"/>
      <c r="J143" s="34"/>
      <c r="K143" s="35"/>
    </row>
    <row r="144" spans="1:11" x14ac:dyDescent="0.15">
      <c r="A144" s="34"/>
      <c r="B144" s="34"/>
      <c r="C144" s="34"/>
      <c r="D144" s="34"/>
      <c r="E144" s="34"/>
      <c r="G144" s="34"/>
      <c r="H144" s="34"/>
      <c r="I144" s="34"/>
      <c r="J144" s="34"/>
      <c r="K144" s="35"/>
    </row>
    <row r="145" spans="1:11" x14ac:dyDescent="0.15">
      <c r="A145" s="34"/>
      <c r="B145" s="34"/>
      <c r="C145" s="34"/>
      <c r="D145" s="34"/>
      <c r="E145" s="34"/>
      <c r="G145" s="34"/>
      <c r="H145" s="34"/>
      <c r="I145" s="34"/>
      <c r="J145" s="34"/>
      <c r="K145" s="35"/>
    </row>
    <row r="146" spans="1:11" x14ac:dyDescent="0.15">
      <c r="A146" s="34"/>
      <c r="B146" s="34"/>
      <c r="C146" s="34"/>
      <c r="D146" s="34"/>
      <c r="E146" s="34"/>
      <c r="G146" s="34"/>
      <c r="H146" s="34"/>
      <c r="I146" s="34"/>
      <c r="J146" s="34"/>
      <c r="K146" s="35"/>
    </row>
    <row r="147" spans="1:11" x14ac:dyDescent="0.15">
      <c r="A147" s="34"/>
      <c r="B147" s="34"/>
      <c r="C147" s="34"/>
      <c r="D147" s="34"/>
      <c r="E147" s="34"/>
      <c r="G147" s="34"/>
      <c r="H147" s="34"/>
      <c r="I147" s="34"/>
      <c r="J147" s="34"/>
      <c r="K147" s="35"/>
    </row>
    <row r="148" spans="1:11" x14ac:dyDescent="0.15">
      <c r="A148" s="34"/>
      <c r="B148" s="34"/>
      <c r="C148" s="34"/>
      <c r="D148" s="34"/>
      <c r="E148" s="34"/>
      <c r="G148" s="34"/>
      <c r="H148" s="34"/>
      <c r="I148" s="34"/>
      <c r="J148" s="34"/>
      <c r="K148" s="35"/>
    </row>
    <row r="149" spans="1:11" x14ac:dyDescent="0.15">
      <c r="A149" s="34"/>
      <c r="B149" s="34"/>
      <c r="C149" s="34"/>
      <c r="D149" s="34"/>
      <c r="E149" s="34"/>
      <c r="G149" s="34"/>
      <c r="H149" s="34"/>
      <c r="I149" s="34"/>
      <c r="J149" s="34"/>
      <c r="K149" s="35"/>
    </row>
    <row r="150" spans="1:11" x14ac:dyDescent="0.15">
      <c r="A150" s="34"/>
      <c r="B150" s="34"/>
      <c r="C150" s="34"/>
      <c r="D150" s="34"/>
      <c r="E150" s="34"/>
      <c r="G150" s="34"/>
      <c r="H150" s="34"/>
      <c r="I150" s="34"/>
      <c r="J150" s="34"/>
      <c r="K150" s="35"/>
    </row>
    <row r="151" spans="1:11" x14ac:dyDescent="0.15">
      <c r="A151" s="34"/>
      <c r="B151" s="34"/>
      <c r="C151" s="34"/>
      <c r="D151" s="34"/>
      <c r="E151" s="34"/>
      <c r="G151" s="34"/>
      <c r="H151" s="34"/>
      <c r="I151" s="34"/>
      <c r="J151" s="34"/>
      <c r="K151" s="35"/>
    </row>
    <row r="152" spans="1:11" x14ac:dyDescent="0.15">
      <c r="A152" s="34"/>
      <c r="B152" s="34"/>
      <c r="C152" s="34"/>
      <c r="D152" s="34"/>
      <c r="E152" s="34"/>
      <c r="G152" s="34"/>
      <c r="H152" s="34"/>
      <c r="I152" s="34"/>
      <c r="J152" s="34"/>
      <c r="K152" s="35"/>
    </row>
    <row r="153" spans="1:11" x14ac:dyDescent="0.15">
      <c r="A153" s="34"/>
      <c r="B153" s="34"/>
      <c r="C153" s="34"/>
      <c r="D153" s="34"/>
      <c r="E153" s="34"/>
      <c r="G153" s="34"/>
      <c r="H153" s="34"/>
      <c r="I153" s="34"/>
      <c r="J153" s="34"/>
      <c r="K153" s="35"/>
    </row>
    <row r="154" spans="1:11" x14ac:dyDescent="0.15">
      <c r="A154" s="34"/>
      <c r="B154" s="34"/>
      <c r="C154" s="34"/>
      <c r="D154" s="34"/>
      <c r="E154" s="34"/>
      <c r="G154" s="34"/>
      <c r="H154" s="34"/>
      <c r="I154" s="34"/>
      <c r="J154" s="34"/>
      <c r="K154" s="35"/>
    </row>
    <row r="155" spans="1:11" x14ac:dyDescent="0.15">
      <c r="A155" s="34"/>
      <c r="B155" s="34"/>
      <c r="C155" s="34"/>
      <c r="D155" s="34"/>
      <c r="E155" s="34"/>
      <c r="G155" s="34"/>
      <c r="H155" s="34"/>
      <c r="I155" s="34"/>
      <c r="J155" s="34"/>
      <c r="K155" s="35"/>
    </row>
    <row r="156" spans="1:11" x14ac:dyDescent="0.15">
      <c r="A156" s="34"/>
      <c r="B156" s="34"/>
      <c r="C156" s="34"/>
      <c r="D156" s="34"/>
      <c r="E156" s="34"/>
      <c r="G156" s="34"/>
      <c r="H156" s="34"/>
      <c r="I156" s="34"/>
      <c r="J156" s="34"/>
      <c r="K156" s="35"/>
    </row>
    <row r="157" spans="1:11" x14ac:dyDescent="0.15">
      <c r="A157" s="34"/>
      <c r="B157" s="34"/>
      <c r="C157" s="34"/>
      <c r="D157" s="34"/>
      <c r="E157" s="34"/>
      <c r="G157" s="34"/>
      <c r="H157" s="34"/>
      <c r="I157" s="34"/>
      <c r="J157" s="34"/>
      <c r="K157" s="35"/>
    </row>
    <row r="158" spans="1:11" x14ac:dyDescent="0.15">
      <c r="A158" s="34"/>
      <c r="B158" s="34"/>
      <c r="C158" s="34"/>
      <c r="D158" s="34"/>
      <c r="E158" s="34"/>
      <c r="G158" s="34"/>
      <c r="H158" s="34"/>
      <c r="I158" s="34"/>
      <c r="J158" s="34"/>
      <c r="K158" s="35"/>
    </row>
    <row r="159" spans="1:11" x14ac:dyDescent="0.15">
      <c r="A159" s="34"/>
      <c r="B159" s="34"/>
      <c r="C159" s="34"/>
      <c r="D159" s="34"/>
      <c r="E159" s="34"/>
      <c r="G159" s="34"/>
      <c r="H159" s="34"/>
      <c r="I159" s="34"/>
      <c r="J159" s="34"/>
      <c r="K159" s="35"/>
    </row>
    <row r="160" spans="1:11" x14ac:dyDescent="0.15">
      <c r="A160" s="34"/>
      <c r="B160" s="34"/>
      <c r="C160" s="34"/>
      <c r="D160" s="34"/>
      <c r="E160" s="34"/>
      <c r="G160" s="34"/>
      <c r="H160" s="34"/>
      <c r="I160" s="34"/>
      <c r="J160" s="34"/>
      <c r="K160" s="35"/>
    </row>
    <row r="161" spans="1:11" x14ac:dyDescent="0.15">
      <c r="A161" s="34"/>
      <c r="B161" s="34"/>
      <c r="C161" s="34"/>
      <c r="D161" s="34"/>
      <c r="E161" s="34"/>
      <c r="G161" s="34"/>
      <c r="H161" s="34"/>
      <c r="I161" s="34"/>
      <c r="J161" s="34"/>
      <c r="K161" s="35"/>
    </row>
    <row r="162" spans="1:11" x14ac:dyDescent="0.15">
      <c r="A162" s="34"/>
      <c r="B162" s="34"/>
      <c r="C162" s="34"/>
      <c r="D162" s="34"/>
      <c r="E162" s="34"/>
      <c r="G162" s="34"/>
      <c r="H162" s="34"/>
      <c r="I162" s="34"/>
      <c r="J162" s="34"/>
      <c r="K162" s="35"/>
    </row>
    <row r="163" spans="1:11" x14ac:dyDescent="0.15">
      <c r="A163" s="34"/>
      <c r="B163" s="34"/>
      <c r="C163" s="34"/>
      <c r="D163" s="34"/>
      <c r="E163" s="34"/>
      <c r="G163" s="34"/>
      <c r="H163" s="34"/>
      <c r="I163" s="34"/>
      <c r="J163" s="34"/>
      <c r="K163" s="35"/>
    </row>
    <row r="164" spans="1:11" x14ac:dyDescent="0.15">
      <c r="A164" s="34"/>
      <c r="B164" s="34"/>
      <c r="C164" s="34"/>
      <c r="D164" s="34"/>
      <c r="E164" s="34"/>
      <c r="G164" s="34"/>
      <c r="H164" s="34"/>
      <c r="I164" s="34"/>
      <c r="J164" s="34"/>
      <c r="K164" s="35"/>
    </row>
    <row r="165" spans="1:11" x14ac:dyDescent="0.15">
      <c r="A165" s="34"/>
      <c r="B165" s="34"/>
      <c r="C165" s="34"/>
      <c r="D165" s="34"/>
      <c r="E165" s="34"/>
      <c r="G165" s="34"/>
      <c r="H165" s="34"/>
      <c r="I165" s="34"/>
      <c r="J165" s="34"/>
      <c r="K165" s="35"/>
    </row>
    <row r="166" spans="1:11" x14ac:dyDescent="0.15">
      <c r="A166" s="34"/>
      <c r="B166" s="34"/>
      <c r="C166" s="34"/>
      <c r="D166" s="34"/>
      <c r="E166" s="34"/>
      <c r="G166" s="34"/>
      <c r="H166" s="34"/>
      <c r="I166" s="34"/>
      <c r="J166" s="34"/>
      <c r="K166" s="35"/>
    </row>
    <row r="167" spans="1:11" x14ac:dyDescent="0.15">
      <c r="A167" s="34"/>
      <c r="B167" s="34"/>
      <c r="C167" s="34"/>
      <c r="D167" s="34"/>
      <c r="E167" s="34"/>
      <c r="G167" s="34"/>
      <c r="H167" s="34"/>
      <c r="I167" s="34"/>
      <c r="J167" s="34"/>
      <c r="K167" s="35"/>
    </row>
    <row r="168" spans="1:11" x14ac:dyDescent="0.15">
      <c r="A168" s="34"/>
      <c r="B168" s="34"/>
      <c r="C168" s="34"/>
      <c r="D168" s="34"/>
      <c r="E168" s="34"/>
      <c r="G168" s="34"/>
      <c r="H168" s="34"/>
      <c r="I168" s="34"/>
      <c r="J168" s="34"/>
      <c r="K168" s="35"/>
    </row>
    <row r="169" spans="1:11" x14ac:dyDescent="0.15">
      <c r="A169" s="34"/>
      <c r="B169" s="34"/>
      <c r="C169" s="34"/>
      <c r="D169" s="34"/>
      <c r="E169" s="34"/>
      <c r="G169" s="34"/>
      <c r="H169" s="34"/>
      <c r="I169" s="34"/>
      <c r="J169" s="34"/>
      <c r="K169" s="35"/>
    </row>
    <row r="170" spans="1:11" x14ac:dyDescent="0.15">
      <c r="A170" s="34"/>
      <c r="B170" s="34"/>
      <c r="C170" s="34"/>
      <c r="D170" s="34"/>
      <c r="E170" s="34"/>
      <c r="G170" s="34"/>
      <c r="H170" s="34"/>
      <c r="I170" s="34"/>
      <c r="J170" s="34"/>
      <c r="K170" s="35"/>
    </row>
    <row r="171" spans="1:11" x14ac:dyDescent="0.15">
      <c r="A171" s="34"/>
      <c r="B171" s="34"/>
      <c r="C171" s="34"/>
      <c r="D171" s="34"/>
      <c r="E171" s="34"/>
      <c r="G171" s="34"/>
      <c r="H171" s="34"/>
      <c r="I171" s="34"/>
      <c r="J171" s="34"/>
      <c r="K171" s="35"/>
    </row>
    <row r="172" spans="1:11" x14ac:dyDescent="0.15">
      <c r="A172" s="34"/>
      <c r="B172" s="34"/>
      <c r="C172" s="34"/>
      <c r="D172" s="34"/>
      <c r="E172" s="34"/>
      <c r="G172" s="34"/>
      <c r="H172" s="34"/>
      <c r="I172" s="34"/>
      <c r="J172" s="34"/>
      <c r="K172" s="35"/>
    </row>
    <row r="173" spans="1:11" x14ac:dyDescent="0.15">
      <c r="A173" s="34"/>
      <c r="B173" s="34"/>
      <c r="C173" s="34"/>
      <c r="D173" s="34"/>
      <c r="E173" s="34"/>
      <c r="G173" s="34"/>
      <c r="H173" s="34"/>
      <c r="I173" s="34"/>
      <c r="J173" s="34"/>
      <c r="K173" s="35"/>
    </row>
    <row r="174" spans="1:11" x14ac:dyDescent="0.15">
      <c r="G174" s="34"/>
      <c r="H174" s="34"/>
      <c r="I174" s="34"/>
      <c r="J174" s="34"/>
      <c r="K174" s="35"/>
    </row>
    <row r="175" spans="1:11" x14ac:dyDescent="0.15">
      <c r="G175" s="34"/>
      <c r="H175" s="34"/>
      <c r="I175" s="34"/>
      <c r="J175" s="34"/>
      <c r="K175" s="35"/>
    </row>
    <row r="176" spans="1:11" x14ac:dyDescent="0.15">
      <c r="G176" s="34"/>
      <c r="H176" s="34"/>
      <c r="I176" s="34"/>
      <c r="J176" s="34"/>
      <c r="K176" s="35"/>
    </row>
    <row r="177" spans="7:11" x14ac:dyDescent="0.15">
      <c r="G177" s="34"/>
      <c r="H177" s="34"/>
      <c r="I177" s="34"/>
      <c r="J177" s="34"/>
      <c r="K177" s="35"/>
    </row>
    <row r="178" spans="7:11" x14ac:dyDescent="0.15">
      <c r="G178" s="34"/>
      <c r="H178" s="34"/>
      <c r="I178" s="34"/>
      <c r="J178" s="34"/>
      <c r="K178" s="35"/>
    </row>
    <row r="179" spans="7:11" x14ac:dyDescent="0.15">
      <c r="G179" s="34"/>
      <c r="H179" s="34"/>
      <c r="I179" s="34"/>
      <c r="J179" s="34"/>
      <c r="K179" s="35"/>
    </row>
    <row r="180" spans="7:11" x14ac:dyDescent="0.15">
      <c r="G180" s="34"/>
      <c r="H180" s="34"/>
      <c r="I180" s="34"/>
      <c r="J180" s="34"/>
      <c r="K180" s="35"/>
    </row>
    <row r="181" spans="7:11" x14ac:dyDescent="0.15">
      <c r="G181" s="34"/>
      <c r="H181" s="34"/>
      <c r="I181" s="34"/>
      <c r="J181" s="34"/>
      <c r="K181" s="35"/>
    </row>
    <row r="182" spans="7:11" x14ac:dyDescent="0.15">
      <c r="G182" s="34"/>
      <c r="H182" s="34"/>
      <c r="I182" s="34"/>
      <c r="J182" s="34"/>
      <c r="K182" s="35"/>
    </row>
    <row r="183" spans="7:11" x14ac:dyDescent="0.15">
      <c r="G183" s="34"/>
      <c r="H183" s="34"/>
      <c r="I183" s="34"/>
      <c r="J183" s="34"/>
      <c r="K183" s="35"/>
    </row>
    <row r="184" spans="7:11" x14ac:dyDescent="0.15">
      <c r="G184" s="34"/>
      <c r="H184" s="34"/>
      <c r="I184" s="34"/>
      <c r="J184" s="34"/>
      <c r="K184" s="35"/>
    </row>
    <row r="185" spans="7:11" x14ac:dyDescent="0.15">
      <c r="G185" s="34"/>
      <c r="H185" s="34"/>
      <c r="I185" s="34"/>
      <c r="J185" s="34"/>
      <c r="K185" s="35"/>
    </row>
    <row r="186" spans="7:11" x14ac:dyDescent="0.15">
      <c r="G186" s="34"/>
      <c r="H186" s="34"/>
      <c r="I186" s="34"/>
      <c r="J186" s="34"/>
      <c r="K186" s="35"/>
    </row>
    <row r="187" spans="7:11" x14ac:dyDescent="0.15">
      <c r="G187" s="34"/>
      <c r="H187" s="34"/>
      <c r="I187" s="34"/>
      <c r="J187" s="34"/>
      <c r="K187" s="35"/>
    </row>
    <row r="188" spans="7:11" x14ac:dyDescent="0.15">
      <c r="G188" s="34"/>
      <c r="H188" s="34"/>
      <c r="I188" s="34"/>
      <c r="J188" s="34"/>
      <c r="K188" s="35"/>
    </row>
    <row r="189" spans="7:11" x14ac:dyDescent="0.15">
      <c r="G189" s="34"/>
      <c r="H189" s="34"/>
      <c r="I189" s="34"/>
      <c r="J189" s="34"/>
      <c r="K189" s="35"/>
    </row>
    <row r="190" spans="7:11" x14ac:dyDescent="0.15">
      <c r="G190" s="34"/>
      <c r="H190" s="34"/>
      <c r="I190" s="34"/>
      <c r="J190" s="34"/>
      <c r="K190" s="35"/>
    </row>
    <row r="191" spans="7:11" x14ac:dyDescent="0.15">
      <c r="G191" s="34"/>
      <c r="H191" s="34"/>
      <c r="I191" s="34"/>
      <c r="J191" s="34"/>
      <c r="K191" s="35"/>
    </row>
    <row r="192" spans="7:11" x14ac:dyDescent="0.15">
      <c r="G192" s="34"/>
      <c r="H192" s="34"/>
      <c r="I192" s="34"/>
      <c r="J192" s="34"/>
      <c r="K192" s="35"/>
    </row>
    <row r="193" spans="7:11" x14ac:dyDescent="0.15">
      <c r="G193" s="34"/>
      <c r="H193" s="34"/>
      <c r="I193" s="34"/>
      <c r="J193" s="34"/>
      <c r="K193" s="35"/>
    </row>
    <row r="194" spans="7:11" x14ac:dyDescent="0.15">
      <c r="G194" s="34"/>
      <c r="H194" s="34"/>
      <c r="I194" s="34"/>
      <c r="J194" s="34"/>
      <c r="K194" s="35"/>
    </row>
    <row r="195" spans="7:11" x14ac:dyDescent="0.15">
      <c r="G195" s="34"/>
      <c r="H195" s="34"/>
      <c r="I195" s="34"/>
      <c r="J195" s="34"/>
      <c r="K195" s="35"/>
    </row>
    <row r="196" spans="7:11" x14ac:dyDescent="0.15">
      <c r="G196" s="34"/>
      <c r="H196" s="34"/>
      <c r="I196" s="34"/>
      <c r="J196" s="34"/>
      <c r="K196" s="35"/>
    </row>
    <row r="197" spans="7:11" x14ac:dyDescent="0.15">
      <c r="G197" s="34"/>
      <c r="H197" s="34"/>
      <c r="I197" s="34"/>
      <c r="J197" s="34"/>
      <c r="K197" s="35"/>
    </row>
    <row r="198" spans="7:11" x14ac:dyDescent="0.15">
      <c r="G198" s="34"/>
      <c r="H198" s="34"/>
      <c r="I198" s="34"/>
      <c r="J198" s="34"/>
      <c r="K198" s="35"/>
    </row>
    <row r="199" spans="7:11" x14ac:dyDescent="0.15">
      <c r="G199" s="34"/>
      <c r="H199" s="34"/>
      <c r="I199" s="34"/>
      <c r="J199" s="34"/>
      <c r="K199" s="35"/>
    </row>
    <row r="200" spans="7:11" x14ac:dyDescent="0.15">
      <c r="G200" s="34"/>
      <c r="H200" s="34"/>
      <c r="I200" s="34"/>
      <c r="J200" s="34"/>
      <c r="K200" s="35"/>
    </row>
    <row r="201" spans="7:11" x14ac:dyDescent="0.15">
      <c r="G201" s="34"/>
      <c r="H201" s="34"/>
      <c r="I201" s="34"/>
      <c r="J201" s="34"/>
      <c r="K201" s="35"/>
    </row>
    <row r="202" spans="7:11" x14ac:dyDescent="0.15">
      <c r="G202" s="34"/>
      <c r="H202" s="34"/>
      <c r="I202" s="34"/>
      <c r="J202" s="34"/>
      <c r="K202" s="35"/>
    </row>
    <row r="203" spans="7:11" x14ac:dyDescent="0.15">
      <c r="G203" s="34"/>
      <c r="H203" s="34"/>
      <c r="I203" s="34"/>
      <c r="J203" s="34"/>
      <c r="K203" s="35"/>
    </row>
    <row r="204" spans="7:11" x14ac:dyDescent="0.15">
      <c r="G204" s="34"/>
      <c r="H204" s="34"/>
      <c r="I204" s="34"/>
      <c r="J204" s="34"/>
      <c r="K204" s="35"/>
    </row>
    <row r="205" spans="7:11" x14ac:dyDescent="0.15">
      <c r="G205" s="34"/>
      <c r="H205" s="34"/>
      <c r="I205" s="34"/>
      <c r="J205" s="34"/>
      <c r="K205" s="35"/>
    </row>
    <row r="206" spans="7:11" x14ac:dyDescent="0.15">
      <c r="G206" s="34"/>
      <c r="H206" s="34"/>
      <c r="I206" s="34"/>
      <c r="J206" s="34"/>
      <c r="K206" s="35"/>
    </row>
    <row r="207" spans="7:11" x14ac:dyDescent="0.15">
      <c r="G207" s="34"/>
      <c r="H207" s="34"/>
      <c r="I207" s="34"/>
      <c r="J207" s="34"/>
      <c r="K207" s="35"/>
    </row>
    <row r="208" spans="7:11" x14ac:dyDescent="0.15">
      <c r="G208" s="34"/>
      <c r="H208" s="34"/>
      <c r="I208" s="34"/>
      <c r="J208" s="34"/>
      <c r="K208" s="35"/>
    </row>
    <row r="209" spans="7:11" x14ac:dyDescent="0.15">
      <c r="G209" s="34"/>
      <c r="H209" s="34"/>
      <c r="I209" s="34"/>
      <c r="J209" s="34"/>
      <c r="K209" s="35"/>
    </row>
    <row r="210" spans="7:11" x14ac:dyDescent="0.15">
      <c r="G210" s="34"/>
      <c r="H210" s="34"/>
      <c r="I210" s="34"/>
      <c r="J210" s="34"/>
      <c r="K210" s="35"/>
    </row>
    <row r="211" spans="7:11" x14ac:dyDescent="0.15">
      <c r="G211" s="34"/>
      <c r="H211" s="34"/>
      <c r="I211" s="34"/>
      <c r="J211" s="34"/>
      <c r="K211" s="35"/>
    </row>
    <row r="212" spans="7:11" x14ac:dyDescent="0.15">
      <c r="G212" s="34"/>
      <c r="H212" s="34"/>
      <c r="I212" s="34"/>
      <c r="J212" s="34"/>
      <c r="K212" s="35"/>
    </row>
    <row r="213" spans="7:11" x14ac:dyDescent="0.15">
      <c r="G213" s="34"/>
      <c r="H213" s="34"/>
      <c r="I213" s="34"/>
      <c r="J213" s="34"/>
      <c r="K213" s="35"/>
    </row>
    <row r="214" spans="7:11" x14ac:dyDescent="0.15">
      <c r="G214" s="34"/>
      <c r="H214" s="34"/>
      <c r="I214" s="34"/>
      <c r="J214" s="34"/>
      <c r="K214" s="35"/>
    </row>
    <row r="215" spans="7:11" x14ac:dyDescent="0.15">
      <c r="G215" s="34"/>
      <c r="H215" s="34"/>
      <c r="I215" s="34"/>
      <c r="J215" s="34"/>
      <c r="K215" s="35"/>
    </row>
    <row r="216" spans="7:11" x14ac:dyDescent="0.15">
      <c r="G216" s="34"/>
      <c r="H216" s="34"/>
      <c r="I216" s="34"/>
      <c r="J216" s="34"/>
      <c r="K216" s="35"/>
    </row>
    <row r="217" spans="7:11" x14ac:dyDescent="0.15">
      <c r="G217" s="34"/>
      <c r="H217" s="34"/>
      <c r="I217" s="34"/>
      <c r="J217" s="34"/>
      <c r="K217" s="35"/>
    </row>
    <row r="218" spans="7:11" x14ac:dyDescent="0.15">
      <c r="G218" s="34"/>
      <c r="H218" s="34"/>
      <c r="I218" s="34"/>
      <c r="J218" s="34"/>
      <c r="K218" s="35"/>
    </row>
    <row r="219" spans="7:11" x14ac:dyDescent="0.15">
      <c r="G219" s="34"/>
      <c r="H219" s="34"/>
      <c r="I219" s="34"/>
      <c r="J219" s="34"/>
      <c r="K219" s="35"/>
    </row>
    <row r="220" spans="7:11" x14ac:dyDescent="0.15">
      <c r="G220" s="34"/>
      <c r="H220" s="34"/>
      <c r="I220" s="34"/>
      <c r="J220" s="34"/>
      <c r="K220" s="35"/>
    </row>
    <row r="221" spans="7:11" x14ac:dyDescent="0.15">
      <c r="G221" s="34"/>
      <c r="H221" s="34"/>
      <c r="I221" s="34"/>
      <c r="J221" s="34"/>
      <c r="K221" s="35"/>
    </row>
    <row r="222" spans="7:11" x14ac:dyDescent="0.15">
      <c r="G222" s="34"/>
      <c r="H222" s="34"/>
      <c r="I222" s="34"/>
      <c r="J222" s="34"/>
      <c r="K222" s="35"/>
    </row>
    <row r="223" spans="7:11" x14ac:dyDescent="0.15">
      <c r="G223" s="34"/>
      <c r="H223" s="34"/>
      <c r="I223" s="34"/>
      <c r="J223" s="34"/>
      <c r="K223" s="35"/>
    </row>
    <row r="224" spans="7:11" x14ac:dyDescent="0.15">
      <c r="G224" s="34"/>
      <c r="H224" s="34"/>
      <c r="I224" s="34"/>
      <c r="J224" s="34"/>
      <c r="K224" s="35"/>
    </row>
    <row r="225" spans="7:11" x14ac:dyDescent="0.15">
      <c r="G225" s="34"/>
      <c r="H225" s="34"/>
      <c r="I225" s="34"/>
      <c r="J225" s="34"/>
      <c r="K225" s="35"/>
    </row>
    <row r="226" spans="7:11" x14ac:dyDescent="0.15">
      <c r="G226" s="34"/>
      <c r="H226" s="34"/>
      <c r="I226" s="34"/>
      <c r="J226" s="34"/>
      <c r="K226" s="35"/>
    </row>
    <row r="227" spans="7:11" x14ac:dyDescent="0.15">
      <c r="G227" s="34"/>
      <c r="H227" s="34"/>
      <c r="I227" s="34"/>
      <c r="J227" s="34"/>
      <c r="K227" s="35"/>
    </row>
    <row r="228" spans="7:11" x14ac:dyDescent="0.15">
      <c r="G228" s="34"/>
      <c r="H228" s="34"/>
      <c r="I228" s="34"/>
      <c r="J228" s="34"/>
      <c r="K228" s="35"/>
    </row>
    <row r="229" spans="7:11" x14ac:dyDescent="0.15">
      <c r="G229" s="34"/>
      <c r="H229" s="34"/>
      <c r="I229" s="34"/>
      <c r="J229" s="34"/>
      <c r="K229" s="35"/>
    </row>
    <row r="230" spans="7:11" x14ac:dyDescent="0.15">
      <c r="G230" s="34"/>
      <c r="H230" s="34"/>
      <c r="I230" s="34"/>
      <c r="J230" s="34"/>
      <c r="K230" s="35"/>
    </row>
    <row r="231" spans="7:11" x14ac:dyDescent="0.15">
      <c r="K231" s="36"/>
    </row>
    <row r="232" spans="7:11" x14ac:dyDescent="0.15">
      <c r="K232" s="36"/>
    </row>
    <row r="233" spans="7:11" x14ac:dyDescent="0.15">
      <c r="K233" s="36"/>
    </row>
    <row r="234" spans="7:11" x14ac:dyDescent="0.15">
      <c r="K234" s="36"/>
    </row>
    <row r="235" spans="7:11" x14ac:dyDescent="0.15">
      <c r="K235" s="36"/>
    </row>
    <row r="236" spans="7:11" x14ac:dyDescent="0.15">
      <c r="K236" s="36"/>
    </row>
    <row r="237" spans="7:11" x14ac:dyDescent="0.15">
      <c r="K237" s="36"/>
    </row>
    <row r="238" spans="7:11" x14ac:dyDescent="0.15">
      <c r="K238" s="36"/>
    </row>
    <row r="239" spans="7:11" x14ac:dyDescent="0.15">
      <c r="K239" s="36"/>
    </row>
  </sheetData>
  <mergeCells count="11">
    <mergeCell ref="G33:K33"/>
    <mergeCell ref="A4:E4"/>
    <mergeCell ref="G4:K4"/>
    <mergeCell ref="G25:H25"/>
    <mergeCell ref="A1:K1"/>
    <mergeCell ref="B2:E2"/>
    <mergeCell ref="H2:K2"/>
    <mergeCell ref="B3:E3"/>
    <mergeCell ref="H3:K3"/>
    <mergeCell ref="A25:B25"/>
    <mergeCell ref="A33:E33"/>
  </mergeCells>
  <phoneticPr fontId="2"/>
  <conditionalFormatting sqref="H13:K13">
    <cfRule type="colorScale" priority="3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conditionalFormatting sqref="B13:E13">
    <cfRule type="colorScale" priority="1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39" r:id="rId4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5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6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7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8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9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1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2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3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4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5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6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7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8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19" name="Button 185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20" name="Button 186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21" name="Button 187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22" name="Button 188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23" name="Button 189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24" name="Button 190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25" name="Button 191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26" name="Button 192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27" name="Button 193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28" name="Button 194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29" name="Button 195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0" name="Button 196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1" name="Button 19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2" name="Button 19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3" name="Button 19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A5" sqref="A5:E34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7" t="s">
        <v>126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ht="28.5" x14ac:dyDescent="0.15">
      <c r="A2" s="7" t="s">
        <v>55</v>
      </c>
      <c r="B2" s="48" t="s">
        <v>128</v>
      </c>
      <c r="C2" s="48"/>
      <c r="D2" s="48"/>
      <c r="E2" s="48"/>
      <c r="F2" s="8"/>
      <c r="G2" s="7" t="s">
        <v>92</v>
      </c>
      <c r="H2" s="48" t="s">
        <v>127</v>
      </c>
      <c r="I2" s="48"/>
      <c r="J2" s="48"/>
      <c r="K2" s="48"/>
    </row>
    <row r="3" spans="1:11" ht="12.75" customHeight="1" x14ac:dyDescent="0.15">
      <c r="A3" s="9" t="s">
        <v>71</v>
      </c>
      <c r="B3" s="49" t="s">
        <v>129</v>
      </c>
      <c r="C3" s="49"/>
      <c r="D3" s="49"/>
      <c r="E3" s="49"/>
      <c r="F3" s="8"/>
      <c r="G3" s="9" t="s">
        <v>63</v>
      </c>
      <c r="H3" s="49" t="s">
        <v>125</v>
      </c>
      <c r="I3" s="49"/>
      <c r="J3" s="49"/>
      <c r="K3" s="49"/>
    </row>
    <row r="4" spans="1:11" ht="15.75" x14ac:dyDescent="0.15">
      <c r="A4" s="44" t="s">
        <v>54</v>
      </c>
      <c r="B4" s="44"/>
      <c r="C4" s="44"/>
      <c r="D4" s="44"/>
      <c r="E4" s="44"/>
      <c r="F4" s="8"/>
      <c r="G4" s="44" t="s">
        <v>51</v>
      </c>
      <c r="H4" s="44"/>
      <c r="I4" s="44"/>
      <c r="J4" s="44"/>
      <c r="K4" s="44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00000000000001" customHeight="1" x14ac:dyDescent="0.15">
      <c r="A12" s="10" t="s">
        <v>53</v>
      </c>
      <c r="B12" s="11">
        <f>B13*B11</f>
        <v>0</v>
      </c>
      <c r="C12" s="11">
        <f>C13*C11</f>
        <v>0</v>
      </c>
      <c r="D12" s="11">
        <f>D13*D11</f>
        <v>0</v>
      </c>
      <c r="E12" s="11">
        <f>E13*E11</f>
        <v>0</v>
      </c>
      <c r="F12" s="8"/>
      <c r="G12" s="10" t="s">
        <v>117</v>
      </c>
      <c r="H12" s="11">
        <f>H13*H11</f>
        <v>0</v>
      </c>
      <c r="I12" s="11">
        <f>I13*I11</f>
        <v>0</v>
      </c>
      <c r="J12" s="11">
        <f>J13*J11</f>
        <v>0</v>
      </c>
      <c r="K12" s="11">
        <f>K13*K11</f>
        <v>0</v>
      </c>
    </row>
    <row r="13" spans="1:11" ht="17.100000000000001" customHeight="1" x14ac:dyDescent="0.15">
      <c r="A13" s="10" t="s">
        <v>154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177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179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00000000000001" customHeight="1" x14ac:dyDescent="0.15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00000000000001" customHeight="1" x14ac:dyDescent="0.15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00000000000001" customHeight="1" x14ac:dyDescent="0.15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75</v>
      </c>
      <c r="H18" s="27">
        <v>27</v>
      </c>
      <c r="I18" s="27">
        <v>16</v>
      </c>
      <c r="J18" s="27">
        <v>10</v>
      </c>
      <c r="K18" s="27">
        <v>5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00000000000001" customHeight="1" x14ac:dyDescent="0.15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00000000000001" customHeight="1" x14ac:dyDescent="0.15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77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00000000000001" customHeight="1" x14ac:dyDescent="0.15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00000000000001" customHeight="1" x14ac:dyDescent="0.1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00000000000001" customHeight="1" x14ac:dyDescent="0.15">
      <c r="A24" s="8" t="s">
        <v>178</v>
      </c>
      <c r="B24" s="8"/>
      <c r="C24" s="8"/>
      <c r="D24" s="8"/>
      <c r="E24" s="8"/>
      <c r="F24" s="8"/>
      <c r="G24" s="8" t="s">
        <v>180</v>
      </c>
      <c r="H24" s="8"/>
      <c r="I24" s="8"/>
      <c r="J24" s="8"/>
      <c r="K24" s="8"/>
    </row>
    <row r="25" spans="1:11" ht="15.75" x14ac:dyDescent="0.1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.75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.75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.75" x14ac:dyDescent="0.1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.75" x14ac:dyDescent="0.1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.75" x14ac:dyDescent="0.1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.75" x14ac:dyDescent="0.1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6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1"/>
  <sheetViews>
    <sheetView topLeftCell="A10" zoomScaleNormal="100" workbookViewId="0">
      <selection activeCell="H23" sqref="H23"/>
    </sheetView>
  </sheetViews>
  <sheetFormatPr defaultColWidth="9" defaultRowHeight="15.75" x14ac:dyDescent="0.15"/>
  <cols>
    <col min="1" max="1" width="20.625" style="6" customWidth="1"/>
    <col min="2" max="5" width="14.625" style="6" customWidth="1"/>
    <col min="6" max="6" width="3.25" style="6" customWidth="1"/>
    <col min="7" max="7" width="20.625" style="6" customWidth="1"/>
    <col min="8" max="11" width="14.625" style="6" customWidth="1"/>
    <col min="12" max="16384" width="9" style="6"/>
  </cols>
  <sheetData>
    <row r="1" spans="1:11" ht="28.5" x14ac:dyDescent="0.15">
      <c r="A1" s="47" t="s">
        <v>79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ht="28.5" x14ac:dyDescent="0.15">
      <c r="A2" s="7" t="s">
        <v>55</v>
      </c>
      <c r="B2" s="48" t="s">
        <v>91</v>
      </c>
      <c r="C2" s="48"/>
      <c r="D2" s="48"/>
      <c r="E2" s="48"/>
      <c r="F2" s="8"/>
      <c r="G2" s="7" t="s">
        <v>92</v>
      </c>
      <c r="H2" s="48" t="s">
        <v>80</v>
      </c>
      <c r="I2" s="48"/>
      <c r="J2" s="48"/>
      <c r="K2" s="48"/>
    </row>
    <row r="3" spans="1:11" ht="12.75" customHeight="1" x14ac:dyDescent="0.15">
      <c r="A3" s="9" t="s">
        <v>71</v>
      </c>
      <c r="B3" s="49" t="s">
        <v>94</v>
      </c>
      <c r="C3" s="49"/>
      <c r="D3" s="49"/>
      <c r="E3" s="49"/>
      <c r="F3" s="8"/>
      <c r="G3" s="9" t="s">
        <v>63</v>
      </c>
      <c r="H3" s="49" t="s">
        <v>93</v>
      </c>
      <c r="I3" s="49"/>
      <c r="J3" s="49"/>
      <c r="K3" s="49"/>
    </row>
    <row r="4" spans="1:11" x14ac:dyDescent="0.15">
      <c r="A4" s="44" t="s">
        <v>54</v>
      </c>
      <c r="B4" s="44"/>
      <c r="C4" s="44"/>
      <c r="D4" s="44"/>
      <c r="E4" s="44"/>
      <c r="F4" s="8"/>
      <c r="G4" s="44" t="s">
        <v>51</v>
      </c>
      <c r="H4" s="44"/>
      <c r="I4" s="44"/>
      <c r="J4" s="44"/>
      <c r="K4" s="44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25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4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12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103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107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118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12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12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00000000000001" customHeight="1" x14ac:dyDescent="0.15">
      <c r="A18" s="12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12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00000000000001" customHeight="1" x14ac:dyDescent="0.15">
      <c r="A21" s="10" t="s">
        <v>100</v>
      </c>
      <c r="B21" s="20" t="s">
        <v>19</v>
      </c>
      <c r="C21" s="20">
        <v>83</v>
      </c>
      <c r="D21" s="10" t="s">
        <v>105</v>
      </c>
      <c r="E21" s="20">
        <v>25</v>
      </c>
      <c r="F21" s="8"/>
      <c r="G21" s="10" t="s">
        <v>100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108</v>
      </c>
      <c r="B22" s="20" t="s">
        <v>19</v>
      </c>
      <c r="C22" s="20">
        <v>272</v>
      </c>
      <c r="D22" s="8"/>
      <c r="E22" s="8"/>
      <c r="F22" s="8"/>
      <c r="G22" s="10" t="s">
        <v>95</v>
      </c>
      <c r="H22" s="20" t="s">
        <v>123</v>
      </c>
      <c r="I22" s="20">
        <v>272</v>
      </c>
      <c r="J22" s="8"/>
      <c r="K22" s="8"/>
    </row>
    <row r="23" spans="1:11" ht="17.100000000000001" customHeight="1" x14ac:dyDescent="0.15">
      <c r="A23" s="10" t="s">
        <v>109</v>
      </c>
      <c r="B23" s="20" t="s">
        <v>184</v>
      </c>
      <c r="C23" s="21">
        <v>1.2</v>
      </c>
      <c r="D23" s="8"/>
      <c r="E23" s="8"/>
      <c r="F23" s="8"/>
      <c r="G23" s="10" t="s">
        <v>114</v>
      </c>
      <c r="H23" s="20" t="s">
        <v>124</v>
      </c>
      <c r="I23" s="21">
        <v>1.1000000000000001</v>
      </c>
      <c r="J23" s="8"/>
      <c r="K23" s="8"/>
    </row>
    <row r="24" spans="1:11" ht="17.100000000000001" customHeight="1" x14ac:dyDescent="0.15">
      <c r="A24" s="10" t="s">
        <v>96</v>
      </c>
      <c r="B24" s="20" t="s">
        <v>165</v>
      </c>
      <c r="C24" s="21">
        <v>1.25</v>
      </c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00000000000001" customHeight="1" x14ac:dyDescent="0.15">
      <c r="A25" s="50" t="s">
        <v>181</v>
      </c>
      <c r="B25" s="51"/>
      <c r="C25" s="16">
        <f>C22*C23*C24</f>
        <v>408</v>
      </c>
      <c r="D25" s="8"/>
      <c r="E25" s="8"/>
      <c r="F25" s="15"/>
      <c r="G25" s="50" t="s">
        <v>181</v>
      </c>
      <c r="H25" s="51"/>
      <c r="I25" s="16">
        <f>I22*I23*I24</f>
        <v>344.08000000000004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0</v>
      </c>
      <c r="C28" s="8"/>
      <c r="D28" s="8" t="s">
        <v>156</v>
      </c>
      <c r="E28" s="20">
        <v>35</v>
      </c>
      <c r="F28" s="8"/>
      <c r="G28" s="10" t="s">
        <v>60</v>
      </c>
      <c r="H28" s="3">
        <v>0</v>
      </c>
      <c r="I28" s="8"/>
      <c r="J28" s="8" t="s">
        <v>156</v>
      </c>
      <c r="K28" s="20">
        <v>35</v>
      </c>
    </row>
    <row r="29" spans="1:11" ht="17.100000000000001" customHeight="1" x14ac:dyDescent="0.15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75000</v>
      </c>
      <c r="I29" s="8"/>
      <c r="J29" s="8"/>
      <c r="K29" s="8"/>
    </row>
    <row r="30" spans="1:11" ht="17.100000000000001" customHeight="1" x14ac:dyDescent="0.15">
      <c r="A30" s="10" t="s">
        <v>119</v>
      </c>
      <c r="B30" s="3">
        <v>375</v>
      </c>
      <c r="C30" s="8"/>
      <c r="D30" s="8"/>
      <c r="E30" s="8"/>
      <c r="F30" s="8"/>
      <c r="G30" s="10" t="s">
        <v>119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5466.4723032069969</v>
      </c>
      <c r="I31" s="8"/>
      <c r="J31" s="8"/>
      <c r="K31" s="8"/>
    </row>
    <row r="33" spans="1:11" x14ac:dyDescent="0.15">
      <c r="A33" s="43" t="s">
        <v>166</v>
      </c>
      <c r="B33" s="44"/>
      <c r="C33" s="44"/>
      <c r="D33" s="44"/>
      <c r="E33" s="44"/>
      <c r="G33" s="43" t="s">
        <v>159</v>
      </c>
      <c r="H33" s="44"/>
      <c r="I33" s="44"/>
      <c r="J33" s="44"/>
      <c r="K33" s="44"/>
    </row>
    <row r="34" spans="1:11" x14ac:dyDescent="0.15">
      <c r="A34" s="32" t="s">
        <v>167</v>
      </c>
      <c r="B34" s="32" t="s">
        <v>168</v>
      </c>
      <c r="C34" s="32" t="s">
        <v>169</v>
      </c>
      <c r="D34" s="32" t="s">
        <v>170</v>
      </c>
      <c r="E34" s="32" t="s">
        <v>171</v>
      </c>
      <c r="G34" s="32" t="s">
        <v>172</v>
      </c>
      <c r="H34" s="32" t="s">
        <v>173</v>
      </c>
      <c r="I34" s="32" t="s">
        <v>174</v>
      </c>
      <c r="J34" s="32" t="s">
        <v>175</v>
      </c>
      <c r="K34" s="32" t="s">
        <v>176</v>
      </c>
    </row>
    <row r="35" spans="1:11" x14ac:dyDescent="0.15">
      <c r="A35" s="38"/>
    </row>
    <row r="36" spans="1:11" x14ac:dyDescent="0.15">
      <c r="A36" s="38"/>
    </row>
    <row r="37" spans="1:11" x14ac:dyDescent="0.15">
      <c r="A37" s="38"/>
    </row>
    <row r="38" spans="1:11" x14ac:dyDescent="0.15">
      <c r="A38" s="38"/>
    </row>
    <row r="39" spans="1:11" x14ac:dyDescent="0.15">
      <c r="A39" s="38"/>
    </row>
    <row r="40" spans="1:11" x14ac:dyDescent="0.15">
      <c r="A40" s="38"/>
    </row>
    <row r="41" spans="1:11" x14ac:dyDescent="0.15">
      <c r="A41" s="38"/>
    </row>
  </sheetData>
  <mergeCells count="11">
    <mergeCell ref="G33:K33"/>
    <mergeCell ref="A33:E33"/>
    <mergeCell ref="G25:H25"/>
    <mergeCell ref="A25:B25"/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10" workbookViewId="0">
      <selection activeCell="I42" sqref="I42"/>
    </sheetView>
  </sheetViews>
  <sheetFormatPr defaultColWidth="8.75" defaultRowHeight="14.25" x14ac:dyDescent="0.15"/>
  <cols>
    <col min="1" max="2" width="27.875" style="1" bestFit="1" customWidth="1"/>
    <col min="3" max="3" width="7.5" style="1" bestFit="1" customWidth="1"/>
    <col min="4" max="4" width="8.875" style="1" bestFit="1" customWidth="1"/>
    <col min="5" max="5" width="11.25" style="1" bestFit="1" customWidth="1"/>
    <col min="6" max="6" width="6.75" style="1" bestFit="1" customWidth="1"/>
    <col min="7" max="7" width="5.5" style="1" bestFit="1" customWidth="1"/>
    <col min="8" max="8" width="8.75" style="1"/>
    <col min="9" max="9" width="4.875" style="1" bestFit="1" customWidth="1"/>
    <col min="10" max="10" width="9.875" style="1" bestFit="1" customWidth="1"/>
    <col min="11" max="11" width="11.875" style="1" bestFit="1" customWidth="1"/>
    <col min="12" max="12" width="6.375" style="1" bestFit="1" customWidth="1"/>
    <col min="13" max="13" width="7.5" style="1" bestFit="1" customWidth="1"/>
    <col min="14" max="14" width="7.875" style="1" bestFit="1" customWidth="1"/>
    <col min="15" max="15" width="15.125" style="1" bestFit="1" customWidth="1"/>
    <col min="16" max="16" width="16.625" style="1" bestFit="1" customWidth="1"/>
    <col min="18" max="20" width="8.75" style="1"/>
    <col min="21" max="21" width="23.25" style="1" bestFit="1" customWidth="1"/>
    <col min="22" max="16384" width="8.75" style="1"/>
  </cols>
  <sheetData>
    <row r="1" spans="1:16" x14ac:dyDescent="0.15">
      <c r="A1" s="53" t="s">
        <v>0</v>
      </c>
      <c r="B1" s="53"/>
      <c r="C1" s="53"/>
    </row>
    <row r="3" spans="1:16" x14ac:dyDescent="0.15">
      <c r="A3" s="1" t="s">
        <v>26</v>
      </c>
    </row>
    <row r="4" spans="1:16" x14ac:dyDescent="0.15">
      <c r="A4" s="1" t="s">
        <v>27</v>
      </c>
    </row>
    <row r="5" spans="1:16" x14ac:dyDescent="0.15">
      <c r="A5" s="1" t="s">
        <v>28</v>
      </c>
    </row>
    <row r="6" spans="1:16" x14ac:dyDescent="0.15">
      <c r="A6" s="1" t="s">
        <v>30</v>
      </c>
    </row>
    <row r="7" spans="1:16" x14ac:dyDescent="0.15">
      <c r="A7" s="1" t="s">
        <v>29</v>
      </c>
    </row>
    <row r="8" spans="1:16" x14ac:dyDescent="0.15">
      <c r="A8" s="1" t="s">
        <v>32</v>
      </c>
    </row>
    <row r="9" spans="1:16" x14ac:dyDescent="0.15">
      <c r="A9" s="1" t="s">
        <v>31</v>
      </c>
    </row>
    <row r="10" spans="1:16" x14ac:dyDescent="0.15">
      <c r="A10" s="1" t="s">
        <v>33</v>
      </c>
    </row>
    <row r="12" spans="1:16" x14ac:dyDescent="0.15">
      <c r="L12" s="52" t="s">
        <v>22</v>
      </c>
      <c r="M12" s="52"/>
      <c r="N12" s="52"/>
      <c r="O12" s="52"/>
      <c r="P12" s="52"/>
    </row>
    <row r="13" spans="1:16" x14ac:dyDescent="0.15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136</v>
      </c>
    </row>
    <row r="14" spans="1:16" x14ac:dyDescent="0.15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15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15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15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15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15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15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15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15">
      <c r="P22" s="2"/>
    </row>
    <row r="23" spans="1:16" x14ac:dyDescent="0.15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15">
      <c r="A24" s="1" t="s">
        <v>130</v>
      </c>
      <c r="B24" s="1" t="s">
        <v>131</v>
      </c>
      <c r="C24" s="1">
        <v>828</v>
      </c>
      <c r="D24" s="1">
        <v>1132133</v>
      </c>
      <c r="E24" s="1" t="s">
        <v>132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15">
      <c r="A25" s="1" t="s">
        <v>133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15">
      <c r="A26" s="1" t="s">
        <v>135</v>
      </c>
      <c r="B26" s="1" t="s">
        <v>134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15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15">
      <c r="A28" s="1" t="s">
        <v>34</v>
      </c>
      <c r="C28" s="1">
        <v>557</v>
      </c>
      <c r="D28" s="1">
        <v>820751</v>
      </c>
      <c r="E28" s="1" t="s">
        <v>137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15">
      <c r="A29" s="1" t="s">
        <v>34</v>
      </c>
      <c r="B29" s="1" t="s">
        <v>138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15">
      <c r="A30" s="1" t="s">
        <v>34</v>
      </c>
      <c r="B30" s="1" t="s">
        <v>139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15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15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15">
      <c r="A33" s="1" t="s">
        <v>34</v>
      </c>
      <c r="B33" s="1" t="s">
        <v>138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15">
      <c r="A34" s="1" t="s">
        <v>34</v>
      </c>
      <c r="B34" s="1" t="s">
        <v>140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15">
      <c r="A35" s="1" t="s">
        <v>34</v>
      </c>
      <c r="B35" s="1" t="s">
        <v>141</v>
      </c>
      <c r="C35" s="1">
        <v>1338</v>
      </c>
      <c r="D35" s="1">
        <v>1120932</v>
      </c>
      <c r="E35" s="1" t="s">
        <v>142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15">
      <c r="A36" s="1" t="s">
        <v>34</v>
      </c>
      <c r="B36" s="1" t="s">
        <v>134</v>
      </c>
      <c r="C36" s="1">
        <v>434</v>
      </c>
      <c r="D36" s="1">
        <v>626045</v>
      </c>
      <c r="E36" s="1" t="s">
        <v>143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15">
      <c r="A37" s="1" t="s">
        <v>34</v>
      </c>
      <c r="B37" s="1" t="s">
        <v>144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15">
      <c r="A38" s="1" t="s">
        <v>34</v>
      </c>
      <c r="B38" s="1" t="s">
        <v>144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15">
      <c r="A39" s="1" t="s">
        <v>34</v>
      </c>
      <c r="B39" s="1" t="s">
        <v>141</v>
      </c>
      <c r="C39" s="1">
        <v>1444</v>
      </c>
      <c r="D39" s="1">
        <v>1257022</v>
      </c>
      <c r="E39" s="1" t="s">
        <v>145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Injabie3</cp:lastModifiedBy>
  <dcterms:created xsi:type="dcterms:W3CDTF">2015-06-06T00:14:03Z</dcterms:created>
  <dcterms:modified xsi:type="dcterms:W3CDTF">2015-09-03T23:40:34Z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