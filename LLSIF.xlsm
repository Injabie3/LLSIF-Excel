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3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4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A:\Ryan\Documents\School Work\"/>
    </mc:Choice>
  </mc:AlternateContent>
  <bookViews>
    <workbookView xWindow="0" yWindow="0" windowWidth="14295" windowHeight="7125"/>
  </bookViews>
  <sheets>
    <sheet name="Welcome" sheetId="12" r:id="rId1"/>
    <sheet name="Current Events" sheetId="6" r:id="rId2"/>
    <sheet name="Token Collection" sheetId="2" r:id="rId3"/>
    <sheet name="Score Match" sheetId="3" r:id="rId4"/>
    <sheet name="Medley Fes Data" sheetId="1" r:id="rId5"/>
  </sheets>
  <definedNames>
    <definedName name="_xlnm._FilterDatabase" localSheetId="0" hidden="1">Welcome!$A$23:$C$23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customWorkbookViews>
    <customWorkbookView name="Ryan Lui - Personal View" guid="{71839DD1-DC74-4C47-AECB-6BDC027C692D}" mergeInterval="0" personalView="1" maximized="1" xWindow="-11" yWindow="-11" windowWidth="2182" windowHeight="1348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1" i="6" l="1"/>
  <c r="I25" i="6"/>
  <c r="H7" i="6"/>
  <c r="I13" i="6" s="1"/>
  <c r="B22" i="6"/>
  <c r="B21" i="6"/>
  <c r="E17" i="6"/>
  <c r="D17" i="6"/>
  <c r="C17" i="6"/>
  <c r="E16" i="6"/>
  <c r="E21" i="6" s="1"/>
  <c r="D16" i="6"/>
  <c r="D21" i="6" s="1"/>
  <c r="C16" i="6"/>
  <c r="C21" i="6" s="1"/>
  <c r="B7" i="6"/>
  <c r="C13" i="6" s="1"/>
  <c r="C12" i="6" s="1"/>
  <c r="E22" i="6" l="1"/>
  <c r="J13" i="6"/>
  <c r="K13" i="6"/>
  <c r="H13" i="6"/>
  <c r="D13" i="6"/>
  <c r="D12" i="6" s="1"/>
  <c r="C22" i="6"/>
  <c r="D22" i="6"/>
  <c r="E13" i="6"/>
  <c r="E12" i="6" s="1"/>
  <c r="B13" i="6"/>
  <c r="B12" i="6" s="1"/>
  <c r="B7" i="2"/>
  <c r="B13" i="2" s="1"/>
  <c r="B12" i="2" s="1"/>
  <c r="C16" i="2"/>
  <c r="D16" i="2"/>
  <c r="E16" i="2"/>
  <c r="E21" i="2" s="1"/>
  <c r="C17" i="2"/>
  <c r="D17" i="2"/>
  <c r="E17" i="2"/>
  <c r="B21" i="2"/>
  <c r="C21" i="2"/>
  <c r="D21" i="2"/>
  <c r="B22" i="2"/>
  <c r="C22" i="2"/>
  <c r="D22" i="2"/>
  <c r="D13" i="2" l="1"/>
  <c r="D12" i="2" s="1"/>
  <c r="E13" i="2"/>
  <c r="E12" i="2" s="1"/>
  <c r="E22" i="2"/>
  <c r="C13" i="2"/>
  <c r="C12" i="2" s="1"/>
  <c r="P39" i="1"/>
  <c r="J39" i="1"/>
  <c r="P38" i="1" l="1"/>
  <c r="J38" i="1"/>
  <c r="P37" i="1"/>
  <c r="J37" i="1"/>
  <c r="P36" i="1"/>
  <c r="J36" i="1"/>
  <c r="P35" i="1"/>
  <c r="J35" i="1"/>
  <c r="P34" i="1" l="1"/>
  <c r="J34" i="1"/>
  <c r="P33" i="1"/>
  <c r="J33" i="1"/>
  <c r="P32" i="1" l="1"/>
  <c r="J32" i="1"/>
  <c r="P31" i="1"/>
  <c r="J31" i="1"/>
  <c r="P30" i="1"/>
  <c r="J30" i="1"/>
  <c r="P29" i="1" l="1"/>
  <c r="J29" i="1"/>
  <c r="P28" i="1" l="1"/>
  <c r="J28" i="1"/>
  <c r="P27" i="1" l="1"/>
  <c r="J27" i="1"/>
  <c r="P26" i="1" l="1"/>
  <c r="J26" i="1"/>
  <c r="P25" i="1"/>
  <c r="J25" i="1"/>
  <c r="P24" i="1"/>
  <c r="J24" i="1"/>
  <c r="B31" i="3" l="1"/>
  <c r="H31" i="3" l="1"/>
  <c r="C25" i="3" l="1"/>
  <c r="I25" i="3"/>
  <c r="H7" i="3" l="1"/>
  <c r="B7" i="3"/>
  <c r="B13" i="3" l="1"/>
  <c r="C13" i="3"/>
  <c r="D13" i="3"/>
  <c r="E13" i="3"/>
  <c r="K13" i="3"/>
  <c r="H13" i="3"/>
  <c r="I13" i="3"/>
  <c r="J13" i="3"/>
  <c r="H21" i="2"/>
  <c r="I17" i="2" l="1"/>
  <c r="H22" i="2"/>
  <c r="H7" i="2"/>
  <c r="J16" i="2"/>
  <c r="J21" i="2" s="1"/>
  <c r="K16" i="2"/>
  <c r="K21" i="2" s="1"/>
  <c r="I16" i="2"/>
  <c r="I21" i="2" s="1"/>
  <c r="J17" i="2"/>
  <c r="K17" i="2"/>
  <c r="J13" i="2" l="1"/>
  <c r="J12" i="2" s="1"/>
  <c r="K13" i="2"/>
  <c r="I13" i="2"/>
  <c r="I12" i="2" s="1"/>
  <c r="H13" i="2"/>
  <c r="H12" i="2" s="1"/>
  <c r="J22" i="2"/>
  <c r="I22" i="2"/>
  <c r="K22" i="2"/>
  <c r="K12" i="2"/>
  <c r="P23" i="1"/>
  <c r="J23" i="1"/>
  <c r="P21" i="1" l="1"/>
  <c r="J21" i="1"/>
  <c r="P20" i="1" l="1"/>
  <c r="J20" i="1"/>
  <c r="P19" i="1"/>
  <c r="J19" i="1"/>
  <c r="J18" i="1"/>
  <c r="P14" i="1"/>
  <c r="P15" i="1"/>
  <c r="P16" i="1"/>
  <c r="P18" i="1"/>
</calcChain>
</file>

<file path=xl/sharedStrings.xml><?xml version="1.0" encoding="utf-8"?>
<sst xmlns="http://schemas.openxmlformats.org/spreadsheetml/2006/main" count="333" uniqueCount="179">
  <si>
    <t>Medley Festival</t>
    <phoneticPr fontId="2"/>
  </si>
  <si>
    <t>Score</t>
    <phoneticPr fontId="2"/>
  </si>
  <si>
    <t>Event Points</t>
    <phoneticPr fontId="2"/>
  </si>
  <si>
    <t>Combo</t>
    <phoneticPr fontId="2"/>
  </si>
  <si>
    <t>Score Rank</t>
    <phoneticPr fontId="2"/>
  </si>
  <si>
    <t>S</t>
    <phoneticPr fontId="2"/>
  </si>
  <si>
    <t>G</t>
    <phoneticPr fontId="2"/>
  </si>
  <si>
    <t>EXP</t>
    <phoneticPr fontId="2"/>
  </si>
  <si>
    <t>G</t>
    <phoneticPr fontId="2"/>
  </si>
  <si>
    <t>Combo</t>
    <phoneticPr fontId="2"/>
  </si>
  <si>
    <t>Arrange</t>
    <phoneticPr fontId="2"/>
  </si>
  <si>
    <t>Score</t>
    <phoneticPr fontId="2"/>
  </si>
  <si>
    <t>Support (Cheer)</t>
    <phoneticPr fontId="2"/>
  </si>
  <si>
    <t>S</t>
    <phoneticPr fontId="2"/>
  </si>
  <si>
    <t>Current EXP</t>
    <phoneticPr fontId="2"/>
  </si>
  <si>
    <t>Rank EXP</t>
    <phoneticPr fontId="2"/>
  </si>
  <si>
    <t>Easy</t>
    <phoneticPr fontId="2"/>
  </si>
  <si>
    <t>Normal</t>
    <phoneticPr fontId="2"/>
  </si>
  <si>
    <t>Hard</t>
    <phoneticPr fontId="2"/>
  </si>
  <si>
    <t>Expert</t>
    <phoneticPr fontId="2"/>
  </si>
  <si>
    <t>Token/Song</t>
    <phoneticPr fontId="2"/>
  </si>
  <si>
    <t>S</t>
    <phoneticPr fontId="2"/>
  </si>
  <si>
    <t>Event Point Multiplers</t>
    <phoneticPr fontId="2"/>
  </si>
  <si>
    <t>Total EXP</t>
    <phoneticPr fontId="2"/>
  </si>
  <si>
    <t>Base EXP</t>
    <phoneticPr fontId="2"/>
  </si>
  <si>
    <t>Addons</t>
    <phoneticPr fontId="2"/>
  </si>
  <si>
    <t>Addons</t>
    <phoneticPr fontId="2"/>
  </si>
  <si>
    <t>Silver/Gold Reward % Up</t>
    <phoneticPr fontId="2"/>
  </si>
  <si>
    <t>Perfect Support</t>
    <phoneticPr fontId="2"/>
  </si>
  <si>
    <t>Tap Score 10% Up</t>
    <phoneticPr fontId="2"/>
  </si>
  <si>
    <t>EXP 10% Up</t>
    <phoneticPr fontId="2"/>
  </si>
  <si>
    <t>EP 10% Up</t>
    <phoneticPr fontId="2"/>
  </si>
  <si>
    <t>Skill Appearance 10% Up</t>
    <phoneticPr fontId="2"/>
  </si>
  <si>
    <t>Stamina 30% Recovery</t>
    <phoneticPr fontId="2"/>
  </si>
  <si>
    <t>EXP, EP, Stamina</t>
    <phoneticPr fontId="2"/>
  </si>
  <si>
    <t>Silver/Gold, EXP, EP, Stamina</t>
    <phoneticPr fontId="2"/>
  </si>
  <si>
    <t>Songs</t>
    <phoneticPr fontId="2"/>
  </si>
  <si>
    <t>Love wing bell, Love Novels, Aishiteru Banzai</t>
    <phoneticPr fontId="2"/>
  </si>
  <si>
    <t>S</t>
    <phoneticPr fontId="2"/>
  </si>
  <si>
    <t>S</t>
    <phoneticPr fontId="2"/>
  </si>
  <si>
    <t>Love wing bell, START:DASH!!, Cutie Panther</t>
    <phoneticPr fontId="2"/>
  </si>
  <si>
    <t>S</t>
    <phoneticPr fontId="2"/>
  </si>
  <si>
    <t>Current Tokens</t>
    <phoneticPr fontId="2"/>
  </si>
  <si>
    <t>Current Points</t>
    <phoneticPr fontId="2"/>
  </si>
  <si>
    <t>Points/Song</t>
    <phoneticPr fontId="2"/>
  </si>
  <si>
    <t>Tokens/Song</t>
    <phoneticPr fontId="2"/>
  </si>
  <si>
    <t>Estimated Points</t>
    <phoneticPr fontId="2"/>
  </si>
  <si>
    <t>Normal</t>
    <phoneticPr fontId="2"/>
  </si>
  <si>
    <t>Hard</t>
    <phoneticPr fontId="2"/>
  </si>
  <si>
    <t>Expert</t>
    <phoneticPr fontId="2"/>
  </si>
  <si>
    <t>Easy</t>
    <phoneticPr fontId="2"/>
  </si>
  <si>
    <t>JP Server</t>
    <phoneticPr fontId="2"/>
  </si>
  <si>
    <t>EXP to Next Rank</t>
    <phoneticPr fontId="2"/>
  </si>
  <si>
    <t>Tokens Required:</t>
    <phoneticPr fontId="2"/>
  </si>
  <si>
    <t>EN Server</t>
    <phoneticPr fontId="2"/>
  </si>
  <si>
    <t>Event:</t>
    <phoneticPr fontId="2"/>
  </si>
  <si>
    <t>ランクEXP</t>
    <phoneticPr fontId="2"/>
  </si>
  <si>
    <t>次のランクからのプライ</t>
    <rPh sb="0" eb="1">
      <t>ツギ</t>
    </rPh>
    <phoneticPr fontId="2"/>
  </si>
  <si>
    <t>次のランクまでのEXP</t>
    <rPh sb="0" eb="1">
      <t>ツギ</t>
    </rPh>
    <phoneticPr fontId="2"/>
  </si>
  <si>
    <t>現在のトーカン</t>
    <rPh sb="0" eb="2">
      <t>ゲンザイ</t>
    </rPh>
    <phoneticPr fontId="2"/>
  </si>
  <si>
    <t>現在のポイント</t>
    <rPh sb="0" eb="2">
      <t>ゲンザイ</t>
    </rPh>
    <phoneticPr fontId="2"/>
  </si>
  <si>
    <t>現在のEXP</t>
    <rPh sb="0" eb="2">
      <t>ゲンザイ</t>
    </rPh>
    <phoneticPr fontId="2"/>
  </si>
  <si>
    <t>合計のポイント</t>
    <rPh sb="0" eb="2">
      <t>ゴウケイ</t>
    </rPh>
    <phoneticPr fontId="2"/>
  </si>
  <si>
    <t>開催中時間:</t>
    <rPh sb="0" eb="3">
      <t>カイサイチュウ</t>
    </rPh>
    <rPh sb="3" eb="5">
      <t>ジカン</t>
    </rPh>
    <phoneticPr fontId="2"/>
  </si>
  <si>
    <t>トーカン/曲</t>
    <rPh sb="5" eb="6">
      <t>キョク</t>
    </rPh>
    <phoneticPr fontId="2"/>
  </si>
  <si>
    <t>EXP/曲</t>
    <rPh sb="4" eb="5">
      <t>キョク</t>
    </rPh>
    <phoneticPr fontId="2"/>
  </si>
  <si>
    <t>ポイント/曲</t>
    <rPh sb="5" eb="6">
      <t>キョク</t>
    </rPh>
    <phoneticPr fontId="2"/>
  </si>
  <si>
    <t>エキスパート</t>
    <phoneticPr fontId="2"/>
  </si>
  <si>
    <t>ハード</t>
    <phoneticPr fontId="2"/>
  </si>
  <si>
    <t>ノーマル</t>
    <phoneticPr fontId="2"/>
  </si>
  <si>
    <t>イージー</t>
    <phoneticPr fontId="2"/>
  </si>
  <si>
    <t>Running Time:</t>
    <phoneticPr fontId="2"/>
  </si>
  <si>
    <t>LCS Used</t>
    <phoneticPr fontId="2"/>
  </si>
  <si>
    <t>使ったLCS</t>
    <rPh sb="0" eb="1">
      <t>ツカ</t>
    </rPh>
    <phoneticPr fontId="2"/>
  </si>
  <si>
    <t>Macros:</t>
    <phoneticPr fontId="2"/>
  </si>
  <si>
    <t>マクロ</t>
    <phoneticPr fontId="2"/>
  </si>
  <si>
    <t>Obtained Tokens</t>
    <phoneticPr fontId="2"/>
  </si>
  <si>
    <t>曲中の取ったトーカン</t>
    <rPh sb="0" eb="2">
      <t>キョクチュウ</t>
    </rPh>
    <rPh sb="3" eb="4">
      <t>ト</t>
    </rPh>
    <phoneticPr fontId="2"/>
  </si>
  <si>
    <t>Songs Playable</t>
    <phoneticPr fontId="2"/>
  </si>
  <si>
    <t>トーカン曲の遊べる数</t>
    <rPh sb="4" eb="5">
      <t>キョク</t>
    </rPh>
    <rPh sb="6" eb="7">
      <t>アソ</t>
    </rPh>
    <rPh sb="9" eb="10">
      <t>スウ</t>
    </rPh>
    <phoneticPr fontId="2"/>
  </si>
  <si>
    <t>EXP/Song</t>
    <phoneticPr fontId="2"/>
  </si>
  <si>
    <t>Score Match</t>
    <phoneticPr fontId="2"/>
  </si>
  <si>
    <t>第19回スコアマッチ (絵里)</t>
    <rPh sb="0" eb="1">
      <t>ダイ</t>
    </rPh>
    <rPh sb="3" eb="4">
      <t>カイ</t>
    </rPh>
    <rPh sb="12" eb="14">
      <t>エリ</t>
    </rPh>
    <phoneticPr fontId="2"/>
  </si>
  <si>
    <t>Sランク</t>
    <phoneticPr fontId="2"/>
  </si>
  <si>
    <t>Aランク</t>
    <phoneticPr fontId="2"/>
  </si>
  <si>
    <t>Bランク</t>
    <phoneticPr fontId="2"/>
  </si>
  <si>
    <t>第１</t>
    <rPh sb="0" eb="1">
      <t>ダイ</t>
    </rPh>
    <phoneticPr fontId="2"/>
  </si>
  <si>
    <t>第2</t>
    <rPh sb="0" eb="1">
      <t>ダイ</t>
    </rPh>
    <phoneticPr fontId="2"/>
  </si>
  <si>
    <t>第3</t>
    <rPh sb="0" eb="1">
      <t>ダイ</t>
    </rPh>
    <phoneticPr fontId="2"/>
  </si>
  <si>
    <t>第4</t>
    <rPh sb="0" eb="1">
      <t>ダイ</t>
    </rPh>
    <phoneticPr fontId="2"/>
  </si>
  <si>
    <t>Cランク</t>
    <phoneticPr fontId="2"/>
  </si>
  <si>
    <t>Multiplier</t>
    <phoneticPr fontId="2"/>
  </si>
  <si>
    <t>Base Score</t>
    <phoneticPr fontId="2"/>
  </si>
  <si>
    <t>Round 10 S.M. (Nozomi)</t>
    <phoneticPr fontId="2"/>
  </si>
  <si>
    <t>イベント名:</t>
    <rPh sb="4" eb="5">
      <t>メイ</t>
    </rPh>
    <phoneticPr fontId="2"/>
  </si>
  <si>
    <t>2015-07-05 1600 JST から 2015-07-15 1500 JST まで</t>
    <phoneticPr fontId="2"/>
  </si>
  <si>
    <t>2015-07-06 0200 PST - 2015-07-16 0100 PST</t>
    <phoneticPr fontId="2"/>
  </si>
  <si>
    <t>ベーススコア</t>
    <phoneticPr fontId="2"/>
  </si>
  <si>
    <t>Place Bonus</t>
    <phoneticPr fontId="2"/>
  </si>
  <si>
    <t>Step 1 - Difficulty</t>
    <phoneticPr fontId="2"/>
  </si>
  <si>
    <t>Step 2 - Score</t>
    <phoneticPr fontId="2"/>
  </si>
  <si>
    <t>Step 3 - Placement</t>
    <phoneticPr fontId="2"/>
  </si>
  <si>
    <t>EXP</t>
    <phoneticPr fontId="2"/>
  </si>
  <si>
    <t>Round Points:</t>
    <phoneticPr fontId="2"/>
  </si>
  <si>
    <t>Target Points</t>
    <phoneticPr fontId="2"/>
  </si>
  <si>
    <t>EXP/Song</t>
    <phoneticPr fontId="2"/>
  </si>
  <si>
    <t>Plays to Next Rank</t>
    <phoneticPr fontId="2"/>
  </si>
  <si>
    <t>LP</t>
    <phoneticPr fontId="2"/>
  </si>
  <si>
    <t>LP</t>
    <phoneticPr fontId="2"/>
  </si>
  <si>
    <t>LP</t>
    <phoneticPr fontId="2"/>
  </si>
  <si>
    <t>Base Score</t>
    <phoneticPr fontId="2"/>
  </si>
  <si>
    <t>Score Bonus</t>
    <phoneticPr fontId="2"/>
  </si>
  <si>
    <t>Step 2 - スコア</t>
    <phoneticPr fontId="2"/>
  </si>
  <si>
    <t>Step 3 - 順位</t>
    <rPh sb="9" eb="11">
      <t>ジュンイ</t>
    </rPh>
    <phoneticPr fontId="2"/>
  </si>
  <si>
    <t>Step 1 - 難易度</t>
    <rPh sb="9" eb="12">
      <t>ナンイド</t>
    </rPh>
    <phoneticPr fontId="2"/>
  </si>
  <si>
    <t>順位ボーナス</t>
    <rPh sb="0" eb="2">
      <t>ジュンイ</t>
    </rPh>
    <phoneticPr fontId="2"/>
  </si>
  <si>
    <t>スコアボーナス</t>
    <phoneticPr fontId="2"/>
  </si>
  <si>
    <t>達成するポイント</t>
    <rPh sb="0" eb="2">
      <t>タッセイ</t>
    </rPh>
    <phoneticPr fontId="2"/>
  </si>
  <si>
    <t>必要LP</t>
    <rPh sb="0" eb="2">
      <t>ヒツヨウ</t>
    </rPh>
    <phoneticPr fontId="2"/>
  </si>
  <si>
    <t>必要トーカン</t>
    <rPh sb="0" eb="2">
      <t>ヒツヨウ</t>
    </rPh>
    <phoneticPr fontId="2"/>
  </si>
  <si>
    <t>ベーススコア</t>
    <phoneticPr fontId="2"/>
  </si>
  <si>
    <t>Average Points</t>
    <phoneticPr fontId="2"/>
  </si>
  <si>
    <t>Rank UP</t>
    <phoneticPr fontId="2"/>
  </si>
  <si>
    <t>ランクアップ</t>
    <phoneticPr fontId="2"/>
  </si>
  <si>
    <t>LP Needed</t>
    <phoneticPr fontId="2"/>
  </si>
  <si>
    <t>2nd</t>
    <phoneticPr fontId="2"/>
  </si>
  <si>
    <t>Expert</t>
    <phoneticPr fontId="2"/>
  </si>
  <si>
    <t>S Rank</t>
    <phoneticPr fontId="2"/>
  </si>
  <si>
    <t>2nd</t>
    <phoneticPr fontId="2"/>
  </si>
  <si>
    <t>B Rank</t>
    <phoneticPr fontId="2"/>
  </si>
  <si>
    <t>2015-07-20 1600 JST から 2015-07-31 1500 JST まで</t>
    <phoneticPr fontId="2"/>
  </si>
  <si>
    <t>Token Collection/Medley Festival</t>
    <phoneticPr fontId="2"/>
  </si>
  <si>
    <t>第6回 Medley Festival (海未)</t>
    <rPh sb="0" eb="1">
      <t>ダイ</t>
    </rPh>
    <rPh sb="2" eb="3">
      <t>カイ</t>
    </rPh>
    <rPh sb="21" eb="22">
      <t>ウミ</t>
    </rPh>
    <rPh sb="22" eb="23">
      <t>ミ</t>
    </rPh>
    <phoneticPr fontId="2"/>
  </si>
  <si>
    <t>μ's Swimsuit Contest (Kotori)</t>
    <phoneticPr fontId="2"/>
  </si>
  <si>
    <t>2015-07-21 0200 PST - 2015-07-31 0100 PST</t>
    <phoneticPr fontId="2"/>
  </si>
  <si>
    <t>EXP, EP, Stamina</t>
    <phoneticPr fontId="2"/>
  </si>
  <si>
    <t>Diamond no Y, Dancing stars on me, Wild Stars</t>
    <phoneticPr fontId="2"/>
  </si>
  <si>
    <t>S</t>
    <phoneticPr fontId="2"/>
  </si>
  <si>
    <t>EXP, EP, Stamina</t>
    <phoneticPr fontId="2"/>
  </si>
  <si>
    <t>2 songs</t>
    <phoneticPr fontId="2"/>
  </si>
  <si>
    <t>EXP, EP</t>
    <phoneticPr fontId="2"/>
  </si>
  <si>
    <t>Base Points</t>
    <phoneticPr fontId="2"/>
  </si>
  <si>
    <t>S</t>
    <phoneticPr fontId="2"/>
  </si>
  <si>
    <t>3 songs FC'd</t>
    <phoneticPr fontId="2"/>
  </si>
  <si>
    <t>3 songs FC'd</t>
    <phoneticPr fontId="2"/>
  </si>
  <si>
    <t>2 songs FC'd</t>
    <phoneticPr fontId="2"/>
  </si>
  <si>
    <t>3 songs FC'd</t>
    <phoneticPr fontId="2"/>
  </si>
  <si>
    <t>S</t>
    <phoneticPr fontId="2"/>
  </si>
  <si>
    <t>S</t>
    <phoneticPr fontId="2"/>
  </si>
  <si>
    <t>3 songs</t>
    <phoneticPr fontId="2"/>
  </si>
  <si>
    <t>S</t>
    <phoneticPr fontId="2"/>
  </si>
  <si>
    <t>Changelog:</t>
    <phoneticPr fontId="2"/>
  </si>
  <si>
    <t>Version</t>
    <phoneticPr fontId="2"/>
  </si>
  <si>
    <t>Changes</t>
    <phoneticPr fontId="2"/>
  </si>
  <si>
    <t>2.3.0</t>
    <phoneticPr fontId="2"/>
  </si>
  <si>
    <t>Date</t>
    <phoneticPr fontId="2"/>
  </si>
  <si>
    <t xml:space="preserve"> - Started mantaining changelog.
 - Added "Current Events" sheet for times when EN/JP events do not correspond</t>
    <phoneticPr fontId="2"/>
  </si>
  <si>
    <t>2.3.1</t>
    <phoneticPr fontId="2"/>
  </si>
  <si>
    <t xml:space="preserve"> - Interchanged "Plays to Next rank" and "Tokens Required" rows in TC to correspond with SM</t>
    <phoneticPr fontId="2"/>
  </si>
  <si>
    <t>Current Events (EN Token Collection/JP Score Match)</t>
    <phoneticPr fontId="2"/>
  </si>
  <si>
    <t>第20回スコアマッチ (凛)</t>
    <rPh sb="0" eb="1">
      <t>ダイ</t>
    </rPh>
    <rPh sb="3" eb="4">
      <t>カイ</t>
    </rPh>
    <rPh sb="12" eb="13">
      <t>リン</t>
    </rPh>
    <phoneticPr fontId="2"/>
  </si>
  <si>
    <t>2015-08-19 0200 PST - 2015-08-28 0100 PST</t>
    <phoneticPr fontId="2"/>
  </si>
  <si>
    <t>2015-08-20 1600 JST から 2015-08-31 1500 JST まで</t>
    <phoneticPr fontId="2"/>
  </si>
  <si>
    <t>The Mysteries of Otonoki (Maki)</t>
    <phoneticPr fontId="2"/>
  </si>
  <si>
    <t>Plays Until Rank Up:</t>
    <phoneticPr fontId="2"/>
  </si>
  <si>
    <t>Plays Until Rank Up:</t>
    <phoneticPr fontId="2"/>
  </si>
  <si>
    <t>Rank Up'd</t>
    <phoneticPr fontId="2"/>
  </si>
  <si>
    <t>Row</t>
    <phoneticPr fontId="2"/>
  </si>
  <si>
    <t>2.3.2b</t>
    <phoneticPr fontId="2"/>
  </si>
  <si>
    <t xml:space="preserve"> - Started to work on Score Match history.</t>
    <phoneticPr fontId="2"/>
  </si>
  <si>
    <t>1st</t>
    <phoneticPr fontId="2"/>
  </si>
  <si>
    <t>スコアマッチ歴史</t>
    <rPh sb="6" eb="8">
      <t>レキシ</t>
    </rPh>
    <phoneticPr fontId="2"/>
  </si>
  <si>
    <t>2.3.2</t>
    <phoneticPr fontId="2"/>
  </si>
  <si>
    <t>平均ポイント</t>
    <phoneticPr fontId="2"/>
  </si>
  <si>
    <t xml:space="preserve"> - Implemented Score Match history for JP for user to track match history.
 - Added Date/Time of Changelog modification!</t>
    <phoneticPr fontId="2"/>
  </si>
  <si>
    <t>S Rank</t>
    <phoneticPr fontId="2"/>
  </si>
  <si>
    <t>Easy</t>
    <phoneticPr fontId="2"/>
  </si>
  <si>
    <t xml:space="preserve"> - Optimized VBA code for Score Match (Module 2 - JP)</t>
    <phoneticPr fontId="2"/>
  </si>
  <si>
    <t>2.3.2.0001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</si>
</sst>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_(&quot;$&quot;* #,##0.00_);_(&quot;$&quot;* \(#,##0.00\);_(&quot;$&quot;* &quot;-&quot;??_);_(@_)"/>
    <numFmt numFmtId="178" formatCode="yyyy/m/d\ h:mm;@"/>
  </numFmts>
  <fonts count="11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000000"/>
      <name val="Meiryo UI"/>
      <family val="3"/>
      <charset val="128"/>
    </font>
    <font>
      <b/>
      <sz val="20"/>
      <color theme="1"/>
      <name val="Meiryo UI"/>
      <family val="3"/>
      <charset val="128"/>
    </font>
    <font>
      <b/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176" fontId="1" fillId="0" borderId="0" applyFont="0" applyFill="0" applyBorder="0" applyAlignment="0" applyProtection="0"/>
  </cellStyleXfs>
  <cellXfs count="42">
    <xf numFmtId="0" fontId="0" fillId="0" borderId="0" xfId="0">
      <alignment vertical="center"/>
    </xf>
    <xf numFmtId="0" fontId="3" fillId="0" borderId="0" xfId="0" applyFont="1">
      <alignment vertical="center"/>
    </xf>
    <xf numFmtId="2" fontId="3" fillId="0" borderId="0" xfId="0" applyNumberFormat="1" applyFont="1">
      <alignment vertical="center"/>
    </xf>
    <xf numFmtId="0" fontId="5" fillId="2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</xf>
    <xf numFmtId="0" fontId="5" fillId="2" borderId="1" xfId="0" applyFont="1" applyFill="1" applyBorder="1" applyAlignment="1" applyProtection="1">
      <alignment horizontal="center" vertical="center"/>
    </xf>
    <xf numFmtId="0" fontId="4" fillId="0" borderId="0" xfId="0" applyFont="1">
      <alignment vertical="center"/>
    </xf>
    <xf numFmtId="0" fontId="9" fillId="0" borderId="0" xfId="0" applyFont="1" applyAlignment="1" applyProtection="1">
      <alignment horizontal="right" vertical="center"/>
    </xf>
    <xf numFmtId="0" fontId="4" fillId="0" borderId="0" xfId="0" applyFont="1" applyProtection="1">
      <alignment vertical="center"/>
    </xf>
    <xf numFmtId="0" fontId="5" fillId="0" borderId="0" xfId="0" applyFont="1" applyAlignment="1" applyProtection="1">
      <alignment horizontal="right" vertical="center"/>
    </xf>
    <xf numFmtId="0" fontId="4" fillId="0" borderId="1" xfId="0" applyFont="1" applyBorder="1" applyProtection="1">
      <alignment vertical="center"/>
    </xf>
    <xf numFmtId="0" fontId="6" fillId="3" borderId="1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5" fillId="0" borderId="1" xfId="0" applyFont="1" applyBorder="1" applyAlignment="1" applyProtection="1">
      <alignment horizontal="center" vertical="center"/>
    </xf>
    <xf numFmtId="0" fontId="5" fillId="0" borderId="2" xfId="0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1" fontId="6" fillId="3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</xf>
    <xf numFmtId="2" fontId="4" fillId="0" borderId="0" xfId="0" applyNumberFormat="1" applyFont="1" applyProtection="1">
      <alignment vertical="center"/>
    </xf>
    <xf numFmtId="2" fontId="4" fillId="0" borderId="1" xfId="0" applyNumberFormat="1" applyFont="1" applyBorder="1" applyProtection="1">
      <alignment vertical="center"/>
    </xf>
    <xf numFmtId="0" fontId="5" fillId="0" borderId="1" xfId="0" applyFont="1" applyBorder="1" applyAlignment="1" applyProtection="1">
      <alignment horizontal="center" vertical="center"/>
      <protection locked="0"/>
    </xf>
    <xf numFmtId="2" fontId="5" fillId="0" borderId="1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Protection="1">
      <alignment vertical="center"/>
    </xf>
    <xf numFmtId="0" fontId="4" fillId="0" borderId="0" xfId="0" applyFont="1" applyBorder="1" applyProtection="1">
      <alignment vertical="center"/>
    </xf>
    <xf numFmtId="0" fontId="4" fillId="0" borderId="0" xfId="0" applyFont="1" applyAlignment="1" applyProtection="1">
      <alignment horizontal="left" vertical="center"/>
    </xf>
    <xf numFmtId="0" fontId="4" fillId="0" borderId="0" xfId="0" applyFont="1" applyFill="1" applyBorder="1" applyProtection="1">
      <alignment vertical="center"/>
    </xf>
    <xf numFmtId="0" fontId="4" fillId="0" borderId="1" xfId="0" applyFont="1" applyBorder="1" applyAlignment="1" applyProtection="1">
      <alignment horizontal="left" vertical="center"/>
    </xf>
    <xf numFmtId="0" fontId="4" fillId="0" borderId="1" xfId="0" applyFont="1" applyFill="1" applyBorder="1" applyAlignment="1" applyProtection="1">
      <alignment horizontal="center" vertical="center"/>
    </xf>
    <xf numFmtId="0" fontId="3" fillId="0" borderId="0" xfId="0" applyFont="1" applyAlignment="1">
      <alignment vertical="center" wrapText="1"/>
    </xf>
    <xf numFmtId="0" fontId="5" fillId="0" borderId="0" xfId="0" applyFont="1" applyAlignment="1" applyProtection="1">
      <alignment horizontal="left" vertical="center"/>
    </xf>
    <xf numFmtId="0" fontId="10" fillId="0" borderId="0" xfId="0" applyFont="1" applyAlignment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3" xfId="0" applyFont="1" applyBorder="1" applyAlignment="1" applyProtection="1">
      <alignment horizontal="right" vertical="center"/>
    </xf>
    <xf numFmtId="0" fontId="5" fillId="0" borderId="4" xfId="0" applyFont="1" applyBorder="1" applyAlignment="1" applyProtection="1">
      <alignment horizontal="right" vertical="center"/>
    </xf>
    <xf numFmtId="0" fontId="9" fillId="0" borderId="0" xfId="0" applyFont="1" applyAlignment="1" applyProtection="1">
      <alignment horizontal="center" vertical="center"/>
    </xf>
    <xf numFmtId="0" fontId="9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22" fontId="3" fillId="0" borderId="0" xfId="0" applyNumberFormat="1" applyFont="1" applyProtection="1">
      <alignment vertical="center"/>
    </xf>
    <xf numFmtId="22" fontId="5" fillId="0" borderId="0" xfId="0" applyNumberFormat="1" applyFont="1" applyAlignment="1" applyProtection="1">
      <alignment horizontal="center" vertical="center"/>
    </xf>
    <xf numFmtId="178" fontId="3" fillId="0" borderId="0" xfId="0" applyNumberFormat="1" applyFont="1">
      <alignment vertical="center"/>
    </xf>
  </cellXfs>
  <cellStyles count="3">
    <cellStyle name="Currency 2" xfId="2"/>
    <cellStyle name="Normal" xfId="0" builtinId="0"/>
    <cellStyle name="Normal 2" xfId="1"/>
  </cellStyles>
  <dxfs count="4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rgb="FF339966"/>
        </patternFill>
      </fill>
    </dxf>
  </dxfs>
  <tableStyles count="2" defaultTableStyle="TableStyleMedium2" defaultPivotStyle="PivotStyleLight16">
    <tableStyle name="CustomTableStyle" pivot="0" count="2">
      <tableStyleElement type="headerRow" dxfId="3"/>
      <tableStyleElement type="firstRowStripe" dxfId="2"/>
    </tableStyle>
    <tableStyle name="MySqlDefault" pivot="0" table="0" count="2">
      <tableStyleElement type="wholeTable" dxfId="1"/>
      <tableStyleElement type="headerRow" dxfId="0"/>
    </tableStyle>
  </tableStyles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76202</xdr:colOff>
      <xdr:row>0</xdr:row>
      <xdr:rowOff>95250</xdr:rowOff>
    </xdr:from>
    <xdr:to>
      <xdr:col>3</xdr:col>
      <xdr:colOff>1</xdr:colOff>
      <xdr:row>20</xdr:row>
      <xdr:rowOff>95250</xdr:rowOff>
    </xdr:to>
    <xdr:sp macro="" textlink="">
      <xdr:nvSpPr>
        <xdr:cNvPr id="2" name="TextBox 1"/>
        <xdr:cNvSpPr txBox="1"/>
      </xdr:nvSpPr>
      <xdr:spPr>
        <a:xfrm>
          <a:off x="76202" y="95250"/>
          <a:ext cx="8010524" cy="361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kumimoji="1" lang="en-CA" altLang="ja-JP" sz="2000" b="1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LLSIF</a:t>
          </a:r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 Event Tracker with Macros</a:t>
          </a:r>
        </a:p>
        <a:p>
          <a:pPr algn="ctr"/>
          <a:endParaRPr kumimoji="1" lang="en-CA" altLang="ja-JP" sz="2000" b="1" baseline="0">
            <a:latin typeface="Meiryo UI" panose="020B0604030504040204" pitchFamily="50" charset="-128"/>
            <a:ea typeface="Meiryo UI" panose="020B0604030504040204" pitchFamily="50" charset="-128"/>
            <a:cs typeface="Arial" panose="020B0604020202020204" pitchFamily="34" charset="0"/>
          </a:endParaRPr>
        </a:p>
        <a:p>
          <a:pPr algn="ctr"/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Version 2.3.1</a:t>
          </a:r>
        </a:p>
        <a:p>
          <a:pPr algn="ctr"/>
          <a:endParaRPr kumimoji="1" lang="en-CA" altLang="ja-JP" sz="2000" b="1">
            <a:latin typeface="Meiryo UI" panose="020B0604030504040204" pitchFamily="50" charset="-128"/>
            <a:ea typeface="Meiryo UI" panose="020B0604030504040204" pitchFamily="50" charset="-128"/>
            <a:cs typeface="Arial" panose="020B0604020202020204" pitchFamily="34" charset="0"/>
          </a:endParaRPr>
        </a:p>
        <a:p>
          <a:pPr algn="ctr"/>
          <a:r>
            <a:rPr kumimoji="1" lang="en-CA" altLang="ja-JP" sz="2000" b="1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By</a:t>
          </a:r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 Injabie3</a:t>
          </a:r>
        </a:p>
        <a:p>
          <a:pPr algn="ctr"/>
          <a:endParaRPr kumimoji="1" lang="en-CA" altLang="ja-JP" sz="2000" b="1" baseline="0">
            <a:latin typeface="Meiryo UI" panose="020B0604030504040204" pitchFamily="50" charset="-128"/>
            <a:ea typeface="Meiryo UI" panose="020B0604030504040204" pitchFamily="50" charset="-128"/>
            <a:cs typeface="Arial" panose="020B0604020202020204" pitchFamily="34" charset="0"/>
          </a:endParaRPr>
        </a:p>
        <a:p>
          <a:pPr algn="ctr"/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Feel free to modify!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14</xdr:row>
          <xdr:rowOff>9525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6211" name="Button 67" hidden="1">
              <a:extLst>
                <a:ext uri="{63B3BB69-23CF-44E3-9099-C40C66FF867C}">
                  <a14:compatExt spid="_x0000_s6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14</xdr:row>
          <xdr:rowOff>9525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6212" name="Button 68" hidden="1">
              <a:extLst>
                <a:ext uri="{63B3BB69-23CF-44E3-9099-C40C66FF867C}">
                  <a14:compatExt spid="_x0000_s6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6213" name="Button 69" hidden="1">
              <a:extLst>
                <a:ext uri="{63B3BB69-23CF-44E3-9099-C40C66FF867C}">
                  <a14:compatExt spid="_x0000_s6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8</xdr:row>
          <xdr:rowOff>9525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6214" name="Button 70" hidden="1">
              <a:extLst>
                <a:ext uri="{63B3BB69-23CF-44E3-9099-C40C66FF867C}">
                  <a14:compatExt spid="_x0000_s6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215" name="Button 71" hidden="1">
              <a:extLst>
                <a:ext uri="{63B3BB69-23CF-44E3-9099-C40C66FF867C}">
                  <a14:compatExt spid="_x0000_s6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23</xdr:row>
          <xdr:rowOff>9525</xdr:rowOff>
        </xdr:from>
        <xdr:to>
          <xdr:col>3</xdr:col>
          <xdr:colOff>0</xdr:colOff>
          <xdr:row>23</xdr:row>
          <xdr:rowOff>238125</xdr:rowOff>
        </xdr:to>
        <xdr:sp macro="" textlink="">
          <xdr:nvSpPr>
            <xdr:cNvPr id="6217" name="Button 73" hidden="1">
              <a:extLst>
                <a:ext uri="{63B3BB69-23CF-44E3-9099-C40C66FF867C}">
                  <a14:compatExt spid="_x0000_s6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9525</xdr:rowOff>
        </xdr:from>
        <xdr:to>
          <xdr:col>3</xdr:col>
          <xdr:colOff>1104900</xdr:colOff>
          <xdr:row>7</xdr:row>
          <xdr:rowOff>0</xdr:rowOff>
        </xdr:to>
        <xdr:sp macro="" textlink="">
          <xdr:nvSpPr>
            <xdr:cNvPr id="6218" name="Button 74" hidden="1">
              <a:extLst>
                <a:ext uri="{63B3BB69-23CF-44E3-9099-C40C66FF867C}">
                  <a14:compatExt spid="_x0000_s6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6219" name="Button 75" hidden="1">
              <a:extLst>
                <a:ext uri="{63B3BB69-23CF-44E3-9099-C40C66FF867C}">
                  <a14:compatExt spid="_x0000_s6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6220" name="Button 76" hidden="1">
              <a:extLst>
                <a:ext uri="{63B3BB69-23CF-44E3-9099-C40C66FF867C}">
                  <a14:compatExt spid="_x0000_s6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4</xdr:col>
          <xdr:colOff>0</xdr:colOff>
          <xdr:row>23</xdr:row>
          <xdr:rowOff>238125</xdr:rowOff>
        </xdr:to>
        <xdr:sp macro="" textlink="">
          <xdr:nvSpPr>
            <xdr:cNvPr id="6221" name="Button 77" hidden="1">
              <a:extLst>
                <a:ext uri="{63B3BB69-23CF-44E3-9099-C40C66FF867C}">
                  <a14:compatExt spid="_x0000_s6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23</xdr:row>
          <xdr:rowOff>9525</xdr:rowOff>
        </xdr:from>
        <xdr:to>
          <xdr:col>5</xdr:col>
          <xdr:colOff>0</xdr:colOff>
          <xdr:row>23</xdr:row>
          <xdr:rowOff>238125</xdr:rowOff>
        </xdr:to>
        <xdr:sp macro="" textlink="">
          <xdr:nvSpPr>
            <xdr:cNvPr id="6222" name="Button 78" hidden="1">
              <a:extLst>
                <a:ext uri="{63B3BB69-23CF-44E3-9099-C40C66FF867C}">
                  <a14:compatExt spid="_x0000_s6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6223" name="Button 79" hidden="1">
              <a:extLst>
                <a:ext uri="{63B3BB69-23CF-44E3-9099-C40C66FF867C}">
                  <a14:compatExt spid="_x0000_s6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9525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6239" name="Button 95" hidden="1">
              <a:extLst>
                <a:ext uri="{63B3BB69-23CF-44E3-9099-C40C66FF867C}">
                  <a14:compatExt spid="_x0000_s6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</xdr:row>
          <xdr:rowOff>9525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6240" name="Button 96" hidden="1">
              <a:extLst>
                <a:ext uri="{63B3BB69-23CF-44E3-9099-C40C66FF867C}">
                  <a14:compatExt spid="_x0000_s6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14</xdr:row>
          <xdr:rowOff>9525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6241" name="Button 97" hidden="1">
              <a:extLst>
                <a:ext uri="{63B3BB69-23CF-44E3-9099-C40C66FF867C}">
                  <a14:compatExt spid="_x0000_s6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6242" name="Button 98" hidden="1">
              <a:extLst>
                <a:ext uri="{63B3BB69-23CF-44E3-9099-C40C66FF867C}">
                  <a14:compatExt spid="_x0000_s6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6243" name="Button 99" hidden="1">
              <a:extLst>
                <a:ext uri="{63B3BB69-23CF-44E3-9099-C40C66FF867C}">
                  <a14:compatExt spid="_x0000_s6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14</xdr:row>
          <xdr:rowOff>9525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6244" name="Button 100" hidden="1">
              <a:extLst>
                <a:ext uri="{63B3BB69-23CF-44E3-9099-C40C66FF867C}">
                  <a14:compatExt spid="_x0000_s6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Bランク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14</xdr:row>
          <xdr:rowOff>9525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6245" name="Button 101" hidden="1">
              <a:extLst>
                <a:ext uri="{63B3BB69-23CF-44E3-9099-C40C66FF867C}">
                  <a14:compatExt spid="_x0000_s6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8</xdr:row>
          <xdr:rowOff>9525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6246" name="Button 102" hidden="1">
              <a:extLst>
                <a:ext uri="{63B3BB69-23CF-44E3-9099-C40C66FF867C}">
                  <a14:compatExt spid="_x0000_s6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8</xdr:row>
          <xdr:rowOff>9525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6247" name="Button 103" hidden="1">
              <a:extLst>
                <a:ext uri="{63B3BB69-23CF-44E3-9099-C40C66FF867C}">
                  <a14:compatExt spid="_x0000_s6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8</xdr:row>
          <xdr:rowOff>9525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6248" name="Button 104" hidden="1">
              <a:extLst>
                <a:ext uri="{63B3BB69-23CF-44E3-9099-C40C66FF867C}">
                  <a14:compatExt spid="_x0000_s6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イージー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17</xdr:row>
          <xdr:rowOff>9525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6249" name="Button 105" hidden="1">
              <a:extLst>
                <a:ext uri="{63B3BB69-23CF-44E3-9099-C40C66FF867C}">
                  <a14:compatExt spid="_x0000_s6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17</xdr:row>
          <xdr:rowOff>9525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6250" name="Button 106" hidden="1">
              <a:extLst>
                <a:ext uri="{63B3BB69-23CF-44E3-9099-C40C66FF867C}">
                  <a14:compatExt spid="_x0000_s6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24</xdr:row>
          <xdr:rowOff>9525</xdr:rowOff>
        </xdr:from>
        <xdr:to>
          <xdr:col>10</xdr:col>
          <xdr:colOff>0</xdr:colOff>
          <xdr:row>24</xdr:row>
          <xdr:rowOff>247650</xdr:rowOff>
        </xdr:to>
        <xdr:sp macro="" textlink="">
          <xdr:nvSpPr>
            <xdr:cNvPr id="6251" name="Button 107" hidden="1">
              <a:extLst>
                <a:ext uri="{63B3BB69-23CF-44E3-9099-C40C66FF867C}">
                  <a14:compatExt spid="_x0000_s6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24</xdr:row>
          <xdr:rowOff>9525</xdr:rowOff>
        </xdr:from>
        <xdr:to>
          <xdr:col>11</xdr:col>
          <xdr:colOff>0</xdr:colOff>
          <xdr:row>24</xdr:row>
          <xdr:rowOff>247650</xdr:rowOff>
        </xdr:to>
        <xdr:sp macro="" textlink="">
          <xdr:nvSpPr>
            <xdr:cNvPr id="6252" name="Button 108" hidden="1">
              <a:extLst>
                <a:ext uri="{63B3BB69-23CF-44E3-9099-C40C66FF867C}">
                  <a14:compatExt spid="_x0000_s6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消して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6</xdr:row>
          <xdr:rowOff>9525</xdr:rowOff>
        </xdr:from>
        <xdr:to>
          <xdr:col>10</xdr:col>
          <xdr:colOff>0</xdr:colOff>
          <xdr:row>7</xdr:row>
          <xdr:rowOff>19050</xdr:rowOff>
        </xdr:to>
        <xdr:sp macro="" textlink="">
          <xdr:nvSpPr>
            <xdr:cNvPr id="6253" name="Button 109" hidden="1">
              <a:extLst>
                <a:ext uri="{63B3BB69-23CF-44E3-9099-C40C66FF867C}">
                  <a14:compatExt spid="_x0000_s6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+LCS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8</xdr:row>
          <xdr:rowOff>9525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6254" name="Button 110" hidden="1">
              <a:extLst>
                <a:ext uri="{63B3BB69-23CF-44E3-9099-C40C66FF867C}">
                  <a14:compatExt spid="_x0000_s6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-Token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</xdr:row>
          <xdr:rowOff>9525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8</xdr:col>
          <xdr:colOff>0</xdr:colOff>
          <xdr:row>24</xdr:row>
          <xdr:rowOff>19050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9</xdr:col>
          <xdr:colOff>0</xdr:colOff>
          <xdr:row>24</xdr:row>
          <xdr:rowOff>19050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14</xdr:row>
          <xdr:rowOff>9525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14</xdr:row>
          <xdr:rowOff>9525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14</xdr:row>
          <xdr:rowOff>9525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8</xdr:row>
          <xdr:rowOff>9525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9525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8</xdr:row>
          <xdr:rowOff>9525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8</xdr:row>
          <xdr:rowOff>9525</xdr:rowOff>
        </xdr:from>
        <xdr:to>
          <xdr:col>0</xdr:col>
          <xdr:colOff>1571625</xdr:colOff>
          <xdr:row>9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-Token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9525</xdr:rowOff>
        </xdr:from>
        <xdr:to>
          <xdr:col>6</xdr:col>
          <xdr:colOff>1571625</xdr:colOff>
          <xdr:row>9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-Token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23</xdr:row>
          <xdr:rowOff>9525</xdr:rowOff>
        </xdr:from>
        <xdr:to>
          <xdr:col>3</xdr:col>
          <xdr:colOff>0</xdr:colOff>
          <xdr:row>23</xdr:row>
          <xdr:rowOff>238125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9525</xdr:rowOff>
        </xdr:from>
        <xdr:to>
          <xdr:col>3</xdr:col>
          <xdr:colOff>1104900</xdr:colOff>
          <xdr:row>7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6</xdr:row>
          <xdr:rowOff>9525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4</xdr:col>
          <xdr:colOff>0</xdr:colOff>
          <xdr:row>23</xdr:row>
          <xdr:rowOff>238125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23</xdr:row>
          <xdr:rowOff>9525</xdr:rowOff>
        </xdr:from>
        <xdr:to>
          <xdr:col>5</xdr:col>
          <xdr:colOff>0</xdr:colOff>
          <xdr:row>23</xdr:row>
          <xdr:rowOff>238125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23</xdr:row>
          <xdr:rowOff>9525</xdr:rowOff>
        </xdr:from>
        <xdr:to>
          <xdr:col>10</xdr:col>
          <xdr:colOff>0</xdr:colOff>
          <xdr:row>24</xdr:row>
          <xdr:rowOff>19050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14</xdr:row>
          <xdr:rowOff>9525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8</xdr:row>
          <xdr:rowOff>9525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8</xdr:row>
          <xdr:rowOff>9525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+イージー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14</xdr:row>
          <xdr:rowOff>9525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+イージー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23</xdr:row>
          <xdr:rowOff>9525</xdr:rowOff>
        </xdr:from>
        <xdr:to>
          <xdr:col>11</xdr:col>
          <xdr:colOff>0</xdr:colOff>
          <xdr:row>24</xdr:row>
          <xdr:rowOff>19050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+4xイージー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9525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</xdr:row>
          <xdr:rowOff>9525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14</xdr:row>
          <xdr:rowOff>9525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14</xdr:row>
          <xdr:rowOff>9525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Bランク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14</xdr:row>
          <xdr:rowOff>9525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8</xdr:row>
          <xdr:rowOff>9525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8</xdr:row>
          <xdr:rowOff>9525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8</xdr:row>
          <xdr:rowOff>9525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イージー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17</xdr:row>
          <xdr:rowOff>9525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17</xdr:row>
          <xdr:rowOff>9525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14</xdr:row>
          <xdr:rowOff>9525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14</xdr:row>
          <xdr:rowOff>9525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17</xdr:row>
          <xdr:rowOff>9525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1st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17</xdr:row>
          <xdr:rowOff>9525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2nd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B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8</xdr:row>
          <xdr:rowOff>9525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</xdr:row>
          <xdr:rowOff>9525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3rd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4th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4</xdr:col>
          <xdr:colOff>0</xdr:colOff>
          <xdr:row>24</xdr:row>
          <xdr:rowOff>247650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24</xdr:row>
          <xdr:rowOff>9525</xdr:rowOff>
        </xdr:from>
        <xdr:to>
          <xdr:col>5</xdr:col>
          <xdr:colOff>0</xdr:colOff>
          <xdr:row>24</xdr:row>
          <xdr:rowOff>247650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24</xdr:row>
          <xdr:rowOff>9525</xdr:rowOff>
        </xdr:from>
        <xdr:to>
          <xdr:col>10</xdr:col>
          <xdr:colOff>0</xdr:colOff>
          <xdr:row>24</xdr:row>
          <xdr:rowOff>247650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24</xdr:row>
          <xdr:rowOff>9525</xdr:rowOff>
        </xdr:from>
        <xdr:to>
          <xdr:col>11</xdr:col>
          <xdr:colOff>0</xdr:colOff>
          <xdr:row>24</xdr:row>
          <xdr:rowOff>247650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消して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9525</xdr:rowOff>
        </xdr:from>
        <xdr:to>
          <xdr:col>3</xdr:col>
          <xdr:colOff>1104900</xdr:colOff>
          <xdr:row>7</xdr:row>
          <xdr:rowOff>19050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+LCS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6</xdr:row>
          <xdr:rowOff>9525</xdr:rowOff>
        </xdr:from>
        <xdr:to>
          <xdr:col>10</xdr:col>
          <xdr:colOff>0</xdr:colOff>
          <xdr:row>7</xdr:row>
          <xdr:rowOff>19050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+LCS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13" Type="http://schemas.openxmlformats.org/officeDocument/2006/relationships/ctrlProp" Target="../ctrlProps/ctrlProp37.xml"/><Relationship Id="rId18" Type="http://schemas.openxmlformats.org/officeDocument/2006/relationships/ctrlProp" Target="../ctrlProps/ctrlProp42.xml"/><Relationship Id="rId26" Type="http://schemas.openxmlformats.org/officeDocument/2006/relationships/ctrlProp" Target="../ctrlProps/ctrlProp50.xml"/><Relationship Id="rId3" Type="http://schemas.openxmlformats.org/officeDocument/2006/relationships/drawing" Target="../drawings/drawing3.xml"/><Relationship Id="rId21" Type="http://schemas.openxmlformats.org/officeDocument/2006/relationships/ctrlProp" Target="../ctrlProps/ctrlProp45.x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17" Type="http://schemas.openxmlformats.org/officeDocument/2006/relationships/ctrlProp" Target="../ctrlProps/ctrlProp41.xml"/><Relationship Id="rId25" Type="http://schemas.openxmlformats.org/officeDocument/2006/relationships/ctrlProp" Target="../ctrlProps/ctrlProp49.xml"/><Relationship Id="rId2" Type="http://schemas.openxmlformats.org/officeDocument/2006/relationships/printerSettings" Target="../printerSettings/printerSettings3.bin"/><Relationship Id="rId16" Type="http://schemas.openxmlformats.org/officeDocument/2006/relationships/ctrlProp" Target="../ctrlProps/ctrlProp40.xml"/><Relationship Id="rId20" Type="http://schemas.openxmlformats.org/officeDocument/2006/relationships/ctrlProp" Target="../ctrlProps/ctrlProp44.xml"/><Relationship Id="rId29" Type="http://schemas.openxmlformats.org/officeDocument/2006/relationships/ctrlProp" Target="../ctrlProps/ctrlProp5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24" Type="http://schemas.openxmlformats.org/officeDocument/2006/relationships/ctrlProp" Target="../ctrlProps/ctrlProp48.xml"/><Relationship Id="rId5" Type="http://schemas.openxmlformats.org/officeDocument/2006/relationships/ctrlProp" Target="../ctrlProps/ctrlProp29.xml"/><Relationship Id="rId15" Type="http://schemas.openxmlformats.org/officeDocument/2006/relationships/ctrlProp" Target="../ctrlProps/ctrlProp39.xml"/><Relationship Id="rId23" Type="http://schemas.openxmlformats.org/officeDocument/2006/relationships/ctrlProp" Target="../ctrlProps/ctrlProp47.xml"/><Relationship Id="rId28" Type="http://schemas.openxmlformats.org/officeDocument/2006/relationships/ctrlProp" Target="../ctrlProps/ctrlProp52.xml"/><Relationship Id="rId10" Type="http://schemas.openxmlformats.org/officeDocument/2006/relationships/ctrlProp" Target="../ctrlProps/ctrlProp34.xml"/><Relationship Id="rId19" Type="http://schemas.openxmlformats.org/officeDocument/2006/relationships/ctrlProp" Target="../ctrlProps/ctrlProp43.xml"/><Relationship Id="rId31" Type="http://schemas.openxmlformats.org/officeDocument/2006/relationships/ctrlProp" Target="../ctrlProps/ctrlProp5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33.xml"/><Relationship Id="rId14" Type="http://schemas.openxmlformats.org/officeDocument/2006/relationships/ctrlProp" Target="../ctrlProps/ctrlProp38.xml"/><Relationship Id="rId22" Type="http://schemas.openxmlformats.org/officeDocument/2006/relationships/ctrlProp" Target="../ctrlProps/ctrlProp46.xml"/><Relationship Id="rId27" Type="http://schemas.openxmlformats.org/officeDocument/2006/relationships/ctrlProp" Target="../ctrlProps/ctrlProp51.xml"/><Relationship Id="rId30" Type="http://schemas.openxmlformats.org/officeDocument/2006/relationships/ctrlProp" Target="../ctrlProps/ctrlProp5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5.xml"/><Relationship Id="rId18" Type="http://schemas.openxmlformats.org/officeDocument/2006/relationships/ctrlProp" Target="../ctrlProps/ctrlProp70.xml"/><Relationship Id="rId26" Type="http://schemas.openxmlformats.org/officeDocument/2006/relationships/ctrlProp" Target="../ctrlProps/ctrlProp78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3.xml"/><Relationship Id="rId7" Type="http://schemas.openxmlformats.org/officeDocument/2006/relationships/ctrlProp" Target="../ctrlProps/ctrlProp59.xml"/><Relationship Id="rId12" Type="http://schemas.openxmlformats.org/officeDocument/2006/relationships/ctrlProp" Target="../ctrlProps/ctrlProp64.xml"/><Relationship Id="rId17" Type="http://schemas.openxmlformats.org/officeDocument/2006/relationships/ctrlProp" Target="../ctrlProps/ctrlProp69.xml"/><Relationship Id="rId25" Type="http://schemas.openxmlformats.org/officeDocument/2006/relationships/ctrlProp" Target="../ctrlProps/ctrlProp77.xml"/><Relationship Id="rId33" Type="http://schemas.openxmlformats.org/officeDocument/2006/relationships/ctrlProp" Target="../ctrlProps/ctrlProp85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68.xml"/><Relationship Id="rId20" Type="http://schemas.openxmlformats.org/officeDocument/2006/relationships/ctrlProp" Target="../ctrlProps/ctrlProp72.xml"/><Relationship Id="rId29" Type="http://schemas.openxmlformats.org/officeDocument/2006/relationships/ctrlProp" Target="../ctrlProps/ctrlProp8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8.xml"/><Relationship Id="rId11" Type="http://schemas.openxmlformats.org/officeDocument/2006/relationships/ctrlProp" Target="../ctrlProps/ctrlProp63.xml"/><Relationship Id="rId24" Type="http://schemas.openxmlformats.org/officeDocument/2006/relationships/ctrlProp" Target="../ctrlProps/ctrlProp76.xml"/><Relationship Id="rId32" Type="http://schemas.openxmlformats.org/officeDocument/2006/relationships/ctrlProp" Target="../ctrlProps/ctrlProp84.xml"/><Relationship Id="rId5" Type="http://schemas.openxmlformats.org/officeDocument/2006/relationships/ctrlProp" Target="../ctrlProps/ctrlProp57.xml"/><Relationship Id="rId15" Type="http://schemas.openxmlformats.org/officeDocument/2006/relationships/ctrlProp" Target="../ctrlProps/ctrlProp67.xml"/><Relationship Id="rId23" Type="http://schemas.openxmlformats.org/officeDocument/2006/relationships/ctrlProp" Target="../ctrlProps/ctrlProp75.xml"/><Relationship Id="rId28" Type="http://schemas.openxmlformats.org/officeDocument/2006/relationships/ctrlProp" Target="../ctrlProps/ctrlProp80.xml"/><Relationship Id="rId10" Type="http://schemas.openxmlformats.org/officeDocument/2006/relationships/ctrlProp" Target="../ctrlProps/ctrlProp62.xml"/><Relationship Id="rId19" Type="http://schemas.openxmlformats.org/officeDocument/2006/relationships/ctrlProp" Target="../ctrlProps/ctrlProp71.xml"/><Relationship Id="rId31" Type="http://schemas.openxmlformats.org/officeDocument/2006/relationships/ctrlProp" Target="../ctrlProps/ctrlProp83.xml"/><Relationship Id="rId4" Type="http://schemas.openxmlformats.org/officeDocument/2006/relationships/ctrlProp" Target="../ctrlProps/ctrlProp56.xml"/><Relationship Id="rId9" Type="http://schemas.openxmlformats.org/officeDocument/2006/relationships/ctrlProp" Target="../ctrlProps/ctrlProp61.xml"/><Relationship Id="rId14" Type="http://schemas.openxmlformats.org/officeDocument/2006/relationships/ctrlProp" Target="../ctrlProps/ctrlProp66.xml"/><Relationship Id="rId22" Type="http://schemas.openxmlformats.org/officeDocument/2006/relationships/ctrlProp" Target="../ctrlProps/ctrlProp74.xml"/><Relationship Id="rId27" Type="http://schemas.openxmlformats.org/officeDocument/2006/relationships/ctrlProp" Target="../ctrlProps/ctrlProp79.xml"/><Relationship Id="rId30" Type="http://schemas.openxmlformats.org/officeDocument/2006/relationships/ctrlProp" Target="../ctrlProps/ctrlProp82.xml"/><Relationship Id="rId8" Type="http://schemas.openxmlformats.org/officeDocument/2006/relationships/ctrlProp" Target="../ctrlProps/ctrlProp6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2:C28"/>
  <sheetViews>
    <sheetView tabSelected="1" workbookViewId="0">
      <selection activeCell="B29" sqref="B29"/>
    </sheetView>
  </sheetViews>
  <sheetFormatPr defaultColWidth="9" defaultRowHeight="14.25" x14ac:dyDescent="0.15"/>
  <cols>
    <col min="1" max="1" width="28.25" style="41" customWidth="1"/>
    <col min="2" max="2" width="10.125" style="1" bestFit="1" customWidth="1"/>
    <col min="3" max="3" width="86.5" style="1" bestFit="1" customWidth="1"/>
    <col min="4" max="16384" width="9" style="1"/>
  </cols>
  <sheetData>
    <row r="22" spans="1:3" ht="15" x14ac:dyDescent="0.15">
      <c r="A22" s="30" t="s">
        <v>151</v>
      </c>
      <c r="B22" s="30"/>
      <c r="C22" s="30"/>
    </row>
    <row r="23" spans="1:3" x14ac:dyDescent="0.15">
      <c r="A23" s="41" t="s">
        <v>155</v>
      </c>
      <c r="B23" s="1" t="s">
        <v>152</v>
      </c>
      <c r="C23" s="1" t="s">
        <v>153</v>
      </c>
    </row>
    <row r="24" spans="1:3" ht="28.5" x14ac:dyDescent="0.15">
      <c r="A24" s="41">
        <v>42220</v>
      </c>
      <c r="B24" s="1" t="s">
        <v>154</v>
      </c>
      <c r="C24" s="28" t="s">
        <v>156</v>
      </c>
    </row>
    <row r="25" spans="1:3" x14ac:dyDescent="0.15">
      <c r="A25" s="41">
        <v>42225</v>
      </c>
      <c r="B25" s="1" t="s">
        <v>157</v>
      </c>
      <c r="C25" s="1" t="s">
        <v>158</v>
      </c>
    </row>
    <row r="26" spans="1:3" x14ac:dyDescent="0.15">
      <c r="A26" s="41">
        <v>42241</v>
      </c>
      <c r="B26" s="1" t="s">
        <v>168</v>
      </c>
      <c r="C26" s="1" t="s">
        <v>169</v>
      </c>
    </row>
    <row r="27" spans="1:3" ht="28.5" x14ac:dyDescent="0.15">
      <c r="A27" s="41">
        <v>42242.851388888892</v>
      </c>
      <c r="B27" s="1" t="s">
        <v>172</v>
      </c>
      <c r="C27" s="28" t="s">
        <v>174</v>
      </c>
    </row>
    <row r="28" spans="1:3" x14ac:dyDescent="0.15">
      <c r="A28" s="41">
        <v>42242.864583333336</v>
      </c>
      <c r="B28" s="1" t="s">
        <v>178</v>
      </c>
      <c r="C28" s="1" t="s">
        <v>177</v>
      </c>
    </row>
  </sheetData>
  <autoFilter ref="A23:C23">
    <sortState ref="A24:C25">
      <sortCondition ref="B23"/>
    </sortState>
  </autoFilter>
  <mergeCells count="1">
    <mergeCell ref="A22:C22"/>
  </mergeCells>
  <phoneticPr fontId="2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52"/>
  <sheetViews>
    <sheetView zoomScaleNormal="100" workbookViewId="0">
      <selection activeCell="G7" sqref="G7"/>
    </sheetView>
  </sheetViews>
  <sheetFormatPr defaultColWidth="9" defaultRowHeight="14.25" x14ac:dyDescent="0.15"/>
  <cols>
    <col min="1" max="1" width="20.625" style="22" customWidth="1"/>
    <col min="2" max="5" width="14.625" style="22" customWidth="1"/>
    <col min="6" max="6" width="3.25" style="22" customWidth="1"/>
    <col min="7" max="7" width="20.625" style="22" customWidth="1"/>
    <col min="8" max="11" width="14.625" style="22" customWidth="1"/>
    <col min="12" max="16384" width="9" style="22"/>
  </cols>
  <sheetData>
    <row r="1" spans="1:11" ht="28.5" x14ac:dyDescent="0.15">
      <c r="A1" s="34" t="s">
        <v>159</v>
      </c>
      <c r="B1" s="34"/>
      <c r="C1" s="34"/>
      <c r="D1" s="34"/>
      <c r="E1" s="34"/>
      <c r="F1" s="34"/>
      <c r="G1" s="34"/>
      <c r="H1" s="34"/>
      <c r="I1" s="34"/>
      <c r="J1" s="34"/>
      <c r="K1" s="34"/>
    </row>
    <row r="2" spans="1:11" ht="28.5" x14ac:dyDescent="0.15">
      <c r="A2" s="7" t="s">
        <v>55</v>
      </c>
      <c r="B2" s="35" t="s">
        <v>163</v>
      </c>
      <c r="C2" s="35"/>
      <c r="D2" s="35"/>
      <c r="E2" s="35"/>
      <c r="F2" s="8"/>
      <c r="G2" s="7" t="s">
        <v>94</v>
      </c>
      <c r="H2" s="35" t="s">
        <v>160</v>
      </c>
      <c r="I2" s="35"/>
      <c r="J2" s="35"/>
      <c r="K2" s="35"/>
    </row>
    <row r="3" spans="1:11" ht="12.75" customHeight="1" x14ac:dyDescent="0.15">
      <c r="A3" s="9" t="s">
        <v>71</v>
      </c>
      <c r="B3" s="36" t="s">
        <v>161</v>
      </c>
      <c r="C3" s="36"/>
      <c r="D3" s="36"/>
      <c r="E3" s="36"/>
      <c r="F3" s="8"/>
      <c r="G3" s="9" t="s">
        <v>63</v>
      </c>
      <c r="H3" s="36" t="s">
        <v>162</v>
      </c>
      <c r="I3" s="36"/>
      <c r="J3" s="36"/>
      <c r="K3" s="36"/>
    </row>
    <row r="4" spans="1:11" ht="15.75" x14ac:dyDescent="0.15">
      <c r="A4" s="31" t="s">
        <v>54</v>
      </c>
      <c r="B4" s="31"/>
      <c r="C4" s="31"/>
      <c r="D4" s="31"/>
      <c r="E4" s="31"/>
      <c r="F4" s="8"/>
      <c r="G4" s="31" t="s">
        <v>51</v>
      </c>
      <c r="H4" s="31"/>
      <c r="I4" s="31"/>
      <c r="J4" s="31"/>
      <c r="K4" s="31"/>
    </row>
    <row r="5" spans="1:11" ht="17.100000000000001" customHeight="1" x14ac:dyDescent="0.15">
      <c r="A5" s="10" t="s">
        <v>14</v>
      </c>
      <c r="B5" s="3">
        <v>2631</v>
      </c>
      <c r="C5" s="8"/>
      <c r="D5" s="10" t="s">
        <v>72</v>
      </c>
      <c r="E5" s="3">
        <v>24</v>
      </c>
      <c r="F5" s="8"/>
      <c r="G5" s="10" t="s">
        <v>61</v>
      </c>
      <c r="H5" s="3">
        <v>2713</v>
      </c>
      <c r="I5" s="8"/>
      <c r="J5" s="10" t="s">
        <v>73</v>
      </c>
      <c r="K5" s="3">
        <v>8</v>
      </c>
    </row>
    <row r="6" spans="1:11" ht="17.100000000000001" customHeight="1" x14ac:dyDescent="0.15">
      <c r="A6" s="10" t="s">
        <v>15</v>
      </c>
      <c r="B6" s="3">
        <v>4445</v>
      </c>
      <c r="C6" s="8"/>
      <c r="D6" s="10" t="s">
        <v>166</v>
      </c>
      <c r="E6" s="3">
        <v>4</v>
      </c>
      <c r="F6" s="8"/>
      <c r="G6" s="10" t="s">
        <v>56</v>
      </c>
      <c r="H6" s="3">
        <v>4892</v>
      </c>
      <c r="I6" s="8"/>
      <c r="J6" s="10" t="s">
        <v>123</v>
      </c>
      <c r="K6" s="3">
        <v>2</v>
      </c>
    </row>
    <row r="7" spans="1:11" ht="17.100000000000001" customHeight="1" x14ac:dyDescent="0.15">
      <c r="A7" s="10" t="s">
        <v>52</v>
      </c>
      <c r="B7" s="11">
        <f>B6-B5</f>
        <v>1814</v>
      </c>
      <c r="C7" s="8"/>
      <c r="D7" s="8"/>
      <c r="E7" s="8"/>
      <c r="F7" s="8"/>
      <c r="G7" s="10" t="s">
        <v>58</v>
      </c>
      <c r="H7" s="11">
        <f>H6-H5</f>
        <v>2179</v>
      </c>
      <c r="I7" s="8"/>
      <c r="J7" s="8"/>
      <c r="K7" s="8"/>
    </row>
    <row r="8" spans="1:11" ht="17.100000000000001" customHeight="1" x14ac:dyDescent="0.15">
      <c r="A8" s="8"/>
      <c r="B8" s="8"/>
      <c r="C8" s="8"/>
      <c r="D8" s="8"/>
      <c r="E8" s="8"/>
      <c r="F8" s="8"/>
      <c r="G8" s="8"/>
      <c r="H8" s="8"/>
      <c r="I8" s="8"/>
      <c r="J8" s="8"/>
      <c r="K8" s="8"/>
    </row>
    <row r="9" spans="1:11" ht="17.100000000000001" customHeight="1" x14ac:dyDescent="0.15">
      <c r="A9" s="23"/>
      <c r="B9" s="13" t="s">
        <v>19</v>
      </c>
      <c r="C9" s="13" t="s">
        <v>18</v>
      </c>
      <c r="D9" s="13" t="s">
        <v>17</v>
      </c>
      <c r="E9" s="13" t="s">
        <v>16</v>
      </c>
      <c r="F9" s="8"/>
      <c r="G9" s="29" t="s">
        <v>114</v>
      </c>
      <c r="H9" s="13" t="s">
        <v>67</v>
      </c>
      <c r="I9" s="13" t="s">
        <v>68</v>
      </c>
      <c r="J9" s="13" t="s">
        <v>69</v>
      </c>
      <c r="K9" s="13" t="s">
        <v>70</v>
      </c>
    </row>
    <row r="10" spans="1:11" ht="17.100000000000001" customHeight="1" x14ac:dyDescent="0.15">
      <c r="A10" s="10" t="s">
        <v>80</v>
      </c>
      <c r="B10" s="4">
        <v>83</v>
      </c>
      <c r="C10" s="4">
        <v>46</v>
      </c>
      <c r="D10" s="4">
        <v>26</v>
      </c>
      <c r="E10" s="4">
        <v>12</v>
      </c>
      <c r="F10" s="8"/>
      <c r="G10" s="10" t="s">
        <v>65</v>
      </c>
      <c r="H10" s="4">
        <v>83</v>
      </c>
      <c r="I10" s="4">
        <v>46</v>
      </c>
      <c r="J10" s="4">
        <v>26</v>
      </c>
      <c r="K10" s="4">
        <v>12</v>
      </c>
    </row>
    <row r="11" spans="1:11" ht="17.100000000000001" customHeight="1" x14ac:dyDescent="0.15">
      <c r="A11" s="10" t="s">
        <v>20</v>
      </c>
      <c r="B11" s="4">
        <v>75</v>
      </c>
      <c r="C11" s="4">
        <v>45</v>
      </c>
      <c r="D11" s="4">
        <v>30</v>
      </c>
      <c r="E11" s="4">
        <v>15</v>
      </c>
      <c r="F11" s="8"/>
      <c r="G11" s="10" t="s">
        <v>108</v>
      </c>
      <c r="H11" s="4">
        <v>25</v>
      </c>
      <c r="I11" s="4">
        <v>15</v>
      </c>
      <c r="J11" s="4">
        <v>10</v>
      </c>
      <c r="K11" s="4">
        <v>5</v>
      </c>
    </row>
    <row r="12" spans="1:11" ht="17.100000000000001" customHeight="1" x14ac:dyDescent="0.15">
      <c r="A12" s="10" t="s">
        <v>53</v>
      </c>
      <c r="B12" s="11">
        <f>B13*B11</f>
        <v>1650</v>
      </c>
      <c r="C12" s="11">
        <f>C13*C11</f>
        <v>1800</v>
      </c>
      <c r="D12" s="11">
        <f>D13*D11</f>
        <v>2100</v>
      </c>
      <c r="E12" s="11">
        <f>E13*E11</f>
        <v>2280</v>
      </c>
      <c r="F12" s="8"/>
      <c r="G12" s="10" t="s">
        <v>97</v>
      </c>
      <c r="H12" s="4">
        <v>272</v>
      </c>
      <c r="I12" s="4">
        <v>163</v>
      </c>
      <c r="J12" s="4">
        <v>89</v>
      </c>
      <c r="K12" s="4">
        <v>36</v>
      </c>
    </row>
    <row r="13" spans="1:11" ht="17.100000000000001" customHeight="1" x14ac:dyDescent="0.15">
      <c r="A13" s="10" t="s">
        <v>164</v>
      </c>
      <c r="B13" s="11">
        <f>_xlfn.CEILING.MATH($B7/B10)</f>
        <v>22</v>
      </c>
      <c r="C13" s="11">
        <f>_xlfn.CEILING.MATH($B7/C10)</f>
        <v>40</v>
      </c>
      <c r="D13" s="11">
        <f>_xlfn.CEILING.MATH($B7/D10)</f>
        <v>70</v>
      </c>
      <c r="E13" s="11">
        <f>_xlfn.CEILING.MATH($B7/E10)</f>
        <v>152</v>
      </c>
      <c r="F13" s="8"/>
      <c r="G13" s="10" t="s">
        <v>57</v>
      </c>
      <c r="H13" s="11">
        <f>_xlfn.CEILING.MATH($H7/H10)</f>
        <v>27</v>
      </c>
      <c r="I13" s="11">
        <f>_xlfn.CEILING.MATH($H7/I10)</f>
        <v>48</v>
      </c>
      <c r="J13" s="11">
        <f>_xlfn.CEILING.MATH($H7/J10)</f>
        <v>84</v>
      </c>
      <c r="K13" s="11">
        <f>_xlfn.CEILING.MATH($H7/K10)</f>
        <v>182</v>
      </c>
    </row>
    <row r="14" spans="1:11" ht="17.100000000000001" customHeight="1" x14ac:dyDescent="0.1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</row>
    <row r="15" spans="1:11" ht="17.100000000000001" customHeight="1" x14ac:dyDescent="0.15">
      <c r="A15" s="24" t="s">
        <v>74</v>
      </c>
      <c r="B15" s="13" t="s">
        <v>49</v>
      </c>
      <c r="C15" s="13" t="s">
        <v>48</v>
      </c>
      <c r="D15" s="13" t="s">
        <v>47</v>
      </c>
      <c r="E15" s="13" t="s">
        <v>16</v>
      </c>
      <c r="F15" s="8"/>
      <c r="G15" s="29" t="s">
        <v>112</v>
      </c>
      <c r="H15" s="14" t="s">
        <v>83</v>
      </c>
      <c r="I15" s="14" t="s">
        <v>84</v>
      </c>
      <c r="J15" s="14" t="s">
        <v>85</v>
      </c>
      <c r="K15" s="14" t="s">
        <v>90</v>
      </c>
    </row>
    <row r="16" spans="1:11" ht="17.100000000000001" customHeight="1" x14ac:dyDescent="0.15">
      <c r="A16" s="10" t="s">
        <v>42</v>
      </c>
      <c r="B16" s="3">
        <v>517</v>
      </c>
      <c r="C16" s="4">
        <f>$B$16</f>
        <v>517</v>
      </c>
      <c r="D16" s="4">
        <f>$B$16</f>
        <v>517</v>
      </c>
      <c r="E16" s="4">
        <f>$B$16</f>
        <v>517</v>
      </c>
      <c r="F16" s="15"/>
      <c r="G16" s="19" t="s">
        <v>91</v>
      </c>
      <c r="H16" s="17">
        <v>1.2</v>
      </c>
      <c r="I16" s="17">
        <v>1.1499999999999999</v>
      </c>
      <c r="J16" s="17">
        <v>1.1000000000000001</v>
      </c>
      <c r="K16" s="17">
        <v>1.05</v>
      </c>
    </row>
    <row r="17" spans="1:11" ht="17.100000000000001" customHeight="1" x14ac:dyDescent="0.15">
      <c r="A17" s="10" t="s">
        <v>43</v>
      </c>
      <c r="B17" s="3">
        <v>26669</v>
      </c>
      <c r="C17" s="4">
        <f>$B$17</f>
        <v>26669</v>
      </c>
      <c r="D17" s="4">
        <f>$B$17</f>
        <v>26669</v>
      </c>
      <c r="E17" s="4">
        <f>$B$17</f>
        <v>26669</v>
      </c>
      <c r="F17" s="15"/>
      <c r="G17" s="8"/>
      <c r="H17" s="8"/>
      <c r="I17" s="8"/>
      <c r="J17" s="8"/>
      <c r="K17" s="8"/>
    </row>
    <row r="18" spans="1:11" ht="17.100000000000001" customHeight="1" x14ac:dyDescent="0.15">
      <c r="A18" s="10" t="s">
        <v>76</v>
      </c>
      <c r="B18" s="27">
        <v>27</v>
      </c>
      <c r="C18" s="27">
        <v>16</v>
      </c>
      <c r="D18" s="27">
        <v>10</v>
      </c>
      <c r="E18" s="27">
        <v>5</v>
      </c>
      <c r="F18" s="15"/>
      <c r="G18" s="29" t="s">
        <v>113</v>
      </c>
      <c r="H18" s="13" t="s">
        <v>86</v>
      </c>
      <c r="I18" s="13" t="s">
        <v>87</v>
      </c>
      <c r="J18" s="13" t="s">
        <v>88</v>
      </c>
      <c r="K18" s="13" t="s">
        <v>89</v>
      </c>
    </row>
    <row r="19" spans="1:11" ht="17.100000000000001" customHeight="1" x14ac:dyDescent="0.15">
      <c r="A19" s="10" t="s">
        <v>45</v>
      </c>
      <c r="B19" s="4">
        <v>75</v>
      </c>
      <c r="C19" s="4">
        <v>45</v>
      </c>
      <c r="D19" s="4">
        <v>30</v>
      </c>
      <c r="E19" s="4">
        <v>15</v>
      </c>
      <c r="F19" s="15"/>
      <c r="G19" s="10" t="s">
        <v>91</v>
      </c>
      <c r="H19" s="17">
        <v>1.25</v>
      </c>
      <c r="I19" s="17">
        <v>1.1499999999999999</v>
      </c>
      <c r="J19" s="17">
        <v>1.05</v>
      </c>
      <c r="K19" s="17">
        <v>1</v>
      </c>
    </row>
    <row r="20" spans="1:11" ht="17.100000000000001" customHeight="1" x14ac:dyDescent="0.15">
      <c r="A20" s="10" t="s">
        <v>44</v>
      </c>
      <c r="B20" s="5">
        <v>404</v>
      </c>
      <c r="C20" s="5">
        <v>233</v>
      </c>
      <c r="D20" s="5">
        <v>140</v>
      </c>
      <c r="E20" s="5">
        <v>65</v>
      </c>
      <c r="F20" s="15"/>
      <c r="G20" s="8"/>
      <c r="H20" s="8"/>
      <c r="I20" s="8"/>
      <c r="J20" s="8"/>
      <c r="K20" s="8"/>
    </row>
    <row r="21" spans="1:11" ht="17.100000000000001" customHeight="1" x14ac:dyDescent="0.15">
      <c r="A21" s="10" t="s">
        <v>78</v>
      </c>
      <c r="B21" s="16">
        <f>_xlfn.FLOOR.MATH(B16/B19)</f>
        <v>6</v>
      </c>
      <c r="C21" s="16">
        <f>_xlfn.FLOOR.MATH(C16/C19)</f>
        <v>11</v>
      </c>
      <c r="D21" s="16">
        <f>_xlfn.FLOOR.MATH(D16/D19)</f>
        <v>17</v>
      </c>
      <c r="E21" s="16">
        <f>_xlfn.FLOOR.MATH(E16/E19)</f>
        <v>34</v>
      </c>
      <c r="F21" s="15"/>
      <c r="G21" s="10" t="s">
        <v>7</v>
      </c>
      <c r="H21" s="20" t="s">
        <v>176</v>
      </c>
      <c r="I21" s="20">
        <v>12</v>
      </c>
      <c r="J21" s="10" t="s">
        <v>107</v>
      </c>
      <c r="K21" s="20">
        <v>5</v>
      </c>
    </row>
    <row r="22" spans="1:11" ht="17.100000000000001" customHeight="1" x14ac:dyDescent="0.15">
      <c r="A22" s="10" t="s">
        <v>46</v>
      </c>
      <c r="B22" s="16">
        <f>B17+B16/B19*B20</f>
        <v>29453.906666666666</v>
      </c>
      <c r="C22" s="16">
        <f>C17+C16/C19*C20</f>
        <v>29345.911111111112</v>
      </c>
      <c r="D22" s="16">
        <f>D17+D16/D19*D20</f>
        <v>29081.666666666668</v>
      </c>
      <c r="E22" s="16">
        <f>E17+E16/E19*E20</f>
        <v>28909.333333333332</v>
      </c>
      <c r="F22" s="15"/>
      <c r="G22" s="10" t="s">
        <v>97</v>
      </c>
      <c r="H22" s="20" t="s">
        <v>176</v>
      </c>
      <c r="I22" s="20">
        <v>36</v>
      </c>
      <c r="J22" s="8"/>
      <c r="K22" s="8"/>
    </row>
    <row r="23" spans="1:11" ht="17.100000000000001" customHeight="1" x14ac:dyDescent="0.15">
      <c r="A23" s="8"/>
      <c r="B23" s="8"/>
      <c r="C23" s="8"/>
      <c r="D23" s="8"/>
      <c r="E23" s="8"/>
      <c r="F23" s="8"/>
      <c r="G23" s="10" t="s">
        <v>116</v>
      </c>
      <c r="H23" s="20" t="s">
        <v>175</v>
      </c>
      <c r="I23" s="21">
        <v>1.2</v>
      </c>
      <c r="J23" s="8"/>
      <c r="K23" s="8"/>
    </row>
    <row r="24" spans="1:11" ht="17.100000000000001" customHeight="1" x14ac:dyDescent="0.15">
      <c r="A24" s="8"/>
      <c r="B24" s="8"/>
      <c r="C24" s="8"/>
      <c r="D24" s="8"/>
      <c r="E24" s="8"/>
      <c r="F24" s="8"/>
      <c r="G24" s="10" t="s">
        <v>115</v>
      </c>
      <c r="H24" s="20" t="s">
        <v>170</v>
      </c>
      <c r="I24" s="21">
        <v>1.25</v>
      </c>
      <c r="J24" s="8"/>
      <c r="K24" s="8"/>
    </row>
    <row r="25" spans="1:11" ht="17.100000000000001" customHeight="1" x14ac:dyDescent="0.15">
      <c r="A25" s="8"/>
      <c r="B25" s="8"/>
      <c r="C25" s="8"/>
      <c r="D25" s="8"/>
      <c r="E25" s="8"/>
      <c r="F25" s="8"/>
      <c r="G25" s="32" t="s">
        <v>103</v>
      </c>
      <c r="H25" s="33"/>
      <c r="I25" s="16">
        <f>I22*I23*I24</f>
        <v>53.999999999999993</v>
      </c>
      <c r="J25" s="8"/>
      <c r="K25" s="8"/>
    </row>
    <row r="26" spans="1:11" ht="17.100000000000001" customHeight="1" x14ac:dyDescent="0.15">
      <c r="F26" s="8"/>
      <c r="G26" s="8"/>
      <c r="H26" s="8"/>
      <c r="I26" s="8"/>
      <c r="J26" s="8"/>
      <c r="K26" s="8"/>
    </row>
    <row r="27" spans="1:11" ht="17.100000000000001" customHeight="1" x14ac:dyDescent="0.15">
      <c r="F27" s="8"/>
      <c r="G27" s="8"/>
      <c r="H27" s="8"/>
      <c r="I27" s="8"/>
      <c r="J27" s="8"/>
      <c r="K27" s="8"/>
    </row>
    <row r="28" spans="1:11" ht="17.100000000000001" customHeight="1" x14ac:dyDescent="0.15">
      <c r="F28" s="8"/>
      <c r="G28" s="10" t="s">
        <v>60</v>
      </c>
      <c r="H28" s="3">
        <v>41597</v>
      </c>
      <c r="I28" s="8"/>
      <c r="J28" s="8" t="s">
        <v>167</v>
      </c>
      <c r="K28" s="20">
        <v>34</v>
      </c>
    </row>
    <row r="29" spans="1:11" ht="17.100000000000001" customHeight="1" x14ac:dyDescent="0.15">
      <c r="F29" s="8"/>
      <c r="G29" s="10" t="s">
        <v>117</v>
      </c>
      <c r="H29" s="3">
        <v>80000</v>
      </c>
      <c r="I29" s="8"/>
      <c r="J29" s="8"/>
      <c r="K29" s="8"/>
    </row>
    <row r="30" spans="1:11" ht="17.100000000000001" customHeight="1" x14ac:dyDescent="0.15">
      <c r="F30" s="8"/>
      <c r="G30" s="10" t="s">
        <v>173</v>
      </c>
      <c r="H30" s="3">
        <v>343</v>
      </c>
      <c r="I30" s="8"/>
      <c r="J30" s="8"/>
      <c r="K30" s="8"/>
    </row>
    <row r="31" spans="1:11" ht="17.100000000000001" customHeight="1" x14ac:dyDescent="0.15">
      <c r="F31" s="8"/>
      <c r="G31" s="10" t="s">
        <v>118</v>
      </c>
      <c r="H31" s="16">
        <f>(H29-H28)/H30*K21</f>
        <v>559.8104956268221</v>
      </c>
      <c r="I31" s="8"/>
      <c r="J31" s="8"/>
      <c r="K31" s="8"/>
    </row>
    <row r="32" spans="1:11" ht="15.75" x14ac:dyDescent="0.15">
      <c r="F32" s="8"/>
      <c r="G32" s="39"/>
    </row>
    <row r="33" spans="7:11" ht="15.75" x14ac:dyDescent="0.15">
      <c r="G33" s="40" t="s">
        <v>171</v>
      </c>
      <c r="H33" s="31"/>
      <c r="I33" s="31"/>
      <c r="J33" s="31"/>
      <c r="K33" s="31"/>
    </row>
    <row r="34" spans="7:11" x14ac:dyDescent="0.15">
      <c r="G34" s="39"/>
    </row>
    <row r="35" spans="7:11" x14ac:dyDescent="0.15">
      <c r="G35" s="39"/>
    </row>
    <row r="36" spans="7:11" x14ac:dyDescent="0.15">
      <c r="G36" s="39"/>
    </row>
    <row r="37" spans="7:11" x14ac:dyDescent="0.15">
      <c r="G37" s="39"/>
    </row>
    <row r="38" spans="7:11" x14ac:dyDescent="0.15">
      <c r="G38" s="39"/>
    </row>
    <row r="39" spans="7:11" x14ac:dyDescent="0.15">
      <c r="G39" s="39"/>
    </row>
    <row r="40" spans="7:11" x14ac:dyDescent="0.15">
      <c r="G40" s="39"/>
    </row>
    <row r="41" spans="7:11" x14ac:dyDescent="0.15">
      <c r="G41" s="39"/>
    </row>
    <row r="42" spans="7:11" x14ac:dyDescent="0.15">
      <c r="G42" s="39"/>
    </row>
    <row r="43" spans="7:11" x14ac:dyDescent="0.15">
      <c r="G43" s="39"/>
    </row>
    <row r="44" spans="7:11" x14ac:dyDescent="0.15">
      <c r="G44" s="39"/>
    </row>
    <row r="45" spans="7:11" x14ac:dyDescent="0.15">
      <c r="G45" s="39"/>
    </row>
    <row r="46" spans="7:11" x14ac:dyDescent="0.15">
      <c r="G46" s="39"/>
    </row>
    <row r="47" spans="7:11" x14ac:dyDescent="0.15">
      <c r="G47" s="39"/>
    </row>
    <row r="48" spans="7:11" x14ac:dyDescent="0.15">
      <c r="G48" s="39"/>
    </row>
    <row r="49" spans="7:7" x14ac:dyDescent="0.15">
      <c r="G49" s="39"/>
    </row>
    <row r="50" spans="7:7" x14ac:dyDescent="0.15">
      <c r="G50" s="39"/>
    </row>
    <row r="51" spans="7:7" x14ac:dyDescent="0.15">
      <c r="G51" s="39"/>
    </row>
    <row r="52" spans="7:7" x14ac:dyDescent="0.15">
      <c r="G52" s="39"/>
    </row>
  </sheetData>
  <mergeCells count="9">
    <mergeCell ref="G33:K33"/>
    <mergeCell ref="A4:E4"/>
    <mergeCell ref="G4:K4"/>
    <mergeCell ref="G25:H25"/>
    <mergeCell ref="A1:K1"/>
    <mergeCell ref="B2:E2"/>
    <mergeCell ref="H2:K2"/>
    <mergeCell ref="B3:E3"/>
    <mergeCell ref="H3:K3"/>
  </mergeCells>
  <phoneticPr fontId="2"/>
  <conditionalFormatting sqref="B13:E13">
    <cfRule type="iconSet" priority="3">
      <iconSet iconSet="3Symbols">
        <cfvo type="percent" val="0"/>
        <cfvo type="num" val="6"/>
        <cfvo type="num" val="15"/>
      </iconSet>
    </cfRule>
    <cfRule type="colorScale" priority="4">
      <colorScale>
        <cfvo type="num" val="0"/>
        <cfvo type="num" val="12"/>
        <cfvo type="num" val="20"/>
        <color rgb="FFFF0000"/>
        <color rgb="FFFFEB84"/>
        <color rgb="FF00B050"/>
      </colorScale>
    </cfRule>
  </conditionalFormatting>
  <conditionalFormatting sqref="H13:K13">
    <cfRule type="colorScale" priority="1">
      <colorScale>
        <cfvo type="num" val="0"/>
        <cfvo type="num" val="12"/>
        <cfvo type="num" val="20"/>
        <color rgb="FFFF0000"/>
        <color rgb="FFFFC000"/>
        <color rgb="FF00B050"/>
      </colorScale>
    </cfRule>
    <cfRule type="iconSet" priority="2">
      <iconSet iconSet="3Symbols">
        <cfvo type="percent" val="0"/>
        <cfvo type="num" val="6"/>
        <cfvo type="num" val="15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1" r:id="rId4" name="Button 67">
              <controlPr defaultSize="0" print="0" autoFill="0" autoPict="0" macro="[0]!TC_AddEXP_EN_Token_Expert">
                <anchor moveWithCells="1" sizeWithCells="1">
                  <from>
                    <xdr:col>1</xdr:col>
                    <xdr:colOff>9525</xdr:colOff>
                    <xdr:row>14</xdr:row>
                    <xdr:rowOff>9525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5" name="Button 68">
              <controlPr defaultSize="0" print="0" autoFill="0" autoPict="0" macro="[0]!TC_AddEXP_EN_Token_Hard">
                <anchor moveWithCells="1" sizeWithCells="1">
                  <from>
                    <xdr:col>2</xdr:col>
                    <xdr:colOff>9525</xdr:colOff>
                    <xdr:row>14</xdr:row>
                    <xdr:rowOff>9525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6" name="Button 69">
              <controlPr defaultSize="0" print="0" autoFill="0" autoPict="0" macro="[0]!TC_AddEXP_EN_Expert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7" name="Button 70">
              <controlPr defaultSize="0" print="0" autoFill="0" autoPict="0" macro="[0]!TC_AddEXP_EN_Hard">
                <anchor moveWithCells="1" sizeWithCells="1">
                  <from>
                    <xdr:col>2</xdr:col>
                    <xdr:colOff>9525</xdr:colOff>
                    <xdr:row>8</xdr:row>
                    <xdr:rowOff>9525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8" name="Button 71">
              <controlPr defaultSize="0" print="0" autoFill="0" autoPict="0" macro="[0]!TC_AddEXP_EN_Token_Normal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9" name="Button 73">
              <controlPr defaultSize="0" print="0" autoFill="0" autoPict="0" macro="[0]!TC_AddEXP_EN_Token_Hard_4x">
                <anchor moveWithCells="1" sizeWithCells="1">
                  <from>
                    <xdr:col>2</xdr:col>
                    <xdr:colOff>9525</xdr:colOff>
                    <xdr:row>23</xdr:row>
                    <xdr:rowOff>9525</xdr:rowOff>
                  </from>
                  <to>
                    <xdr:col>3</xdr:col>
                    <xdr:colOff>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10" name="Button 74">
              <controlPr defaultSize="0" print="0" autoFill="0" autoPict="0" macro="[0]!AddLCS_EN">
                <anchor moveWithCells="1" siz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1104900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11" name="Button 75">
              <controlPr defaultSize="0" print="0" autoFill="0" autoPict="0" macro="[0]!TC_AddEXP_EN_Normal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12" name="Button 76">
              <controlPr defaultSize="0" print="0" autoFill="0" autoPict="0" macro="[0]!TC_AddEXP_EN_Easy">
                <anchor moveWithCells="1" siz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13" name="Button 77">
              <controlPr defaultSize="0" print="0" autoFill="0" autoPict="0" macro="[0]!TC_AddEXP_EN_Token_Hard_4x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4</xdr:col>
                    <xdr:colOff>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14" name="Button 78">
              <controlPr defaultSize="0" print="0" autoFill="0" autoPict="0" macro="[0]!TC_AddEXP_EN_Token_Easy_4x">
                <anchor moveWithCells="1" sizeWithCells="1">
                  <from>
                    <xdr:col>4</xdr:col>
                    <xdr:colOff>9525</xdr:colOff>
                    <xdr:row>23</xdr:row>
                    <xdr:rowOff>9525</xdr:rowOff>
                  </from>
                  <to>
                    <xdr:col>5</xdr:col>
                    <xdr:colOff>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15" name="Button 79">
              <controlPr defaultSize="0" print="0" autoFill="0" autoPict="0" macro="[0]!TC_AddEXP_EN_Token_Easy">
                <anchor moveWithCells="1" sizeWithCells="1">
                  <from>
                    <xdr:col>4</xdr:col>
                    <xdr:colOff>9525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6" name="Button 95">
              <controlPr defaultSize="0" print="0" autoFill="0" autoPict="0" macro="[0]!SM_JP_Step1_Expert">
                <anchor moveWithCells="1" sizeWithCells="1">
                  <from>
                    <xdr:col>7</xdr:col>
                    <xdr:colOff>9525</xdr:colOff>
                    <xdr:row>8</xdr:row>
                    <xdr:rowOff>9525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7" name="Button 96">
              <controlPr defaultSize="0" print="0" autoFill="0" autoPict="0" macro="[0]!SM_JP_Step2_S">
                <anchor moveWithCells="1" sizeWithCells="1">
                  <from>
                    <xdr:col>7</xdr:col>
                    <xdr:colOff>9525</xdr:colOff>
                    <xdr:row>14</xdr:row>
                    <xdr:rowOff>9525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8" name="Button 97">
              <controlPr defaultSize="0" print="0" autoFill="0" autoPict="0" macro="[0]!SM_JP_Step2_A">
                <anchor moveWithCells="1" sizeWithCells="1">
                  <from>
                    <xdr:col>8</xdr:col>
                    <xdr:colOff>9525</xdr:colOff>
                    <xdr:row>14</xdr:row>
                    <xdr:rowOff>9525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9" name="Button 98">
              <controlPr defaultSize="0" print="0" autoFill="0" autoPict="0" macro="[0]!SM_JP_Step3_1st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20" name="Button 99">
              <controlPr defaultSize="0" print="0" autoFill="0" autoPict="0" macro="[0]!SM_JP_Step3_2nd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Button 100">
              <controlPr defaultSize="0" print="0" autoFill="0" autoPict="0" macro="[0]!SM_JP_Step2_B">
                <anchor moveWithCells="1" sizeWithCells="1">
                  <from>
                    <xdr:col>9</xdr:col>
                    <xdr:colOff>9525</xdr:colOff>
                    <xdr:row>14</xdr:row>
                    <xdr:rowOff>9525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Button 101">
              <controlPr defaultSize="0" print="0" autoFill="0" autoPict="0" macro="[0]!SM_JP_Step2_C">
                <anchor moveWithCells="1" sizeWithCells="1">
                  <from>
                    <xdr:col>10</xdr:col>
                    <xdr:colOff>9525</xdr:colOff>
                    <xdr:row>14</xdr:row>
                    <xdr:rowOff>9525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Button 102">
              <controlPr defaultSize="0" print="0" autoFill="0" autoPict="0" macro="[0]!SM_JP_Step1_Hard">
                <anchor moveWithCells="1" sizeWithCells="1">
                  <from>
                    <xdr:col>8</xdr:col>
                    <xdr:colOff>9525</xdr:colOff>
                    <xdr:row>8</xdr:row>
                    <xdr:rowOff>9525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Button 103">
              <controlPr defaultSize="0" print="0" autoFill="0" autoPict="0" macro="[0]!SM_JP_Step1_Normal">
                <anchor moveWithCells="1" sizeWithCells="1">
                  <from>
                    <xdr:col>9</xdr:col>
                    <xdr:colOff>9525</xdr:colOff>
                    <xdr:row>8</xdr:row>
                    <xdr:rowOff>9525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Button 104">
              <controlPr defaultSize="0" print="0" autoFill="0" autoPict="0" macro="[0]!SM_JP_Step1_Easy">
                <anchor moveWithCells="1" sizeWithCells="1">
                  <from>
                    <xdr:col>10</xdr:col>
                    <xdr:colOff>9525</xdr:colOff>
                    <xdr:row>8</xdr:row>
                    <xdr:rowOff>9525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Button 105">
              <controlPr defaultSize="0" print="0" autoFill="0" autoPict="0" macro="[0]!SM_JP_Step3_3rd">
                <anchor moveWithCells="1" sizeWithCells="1">
                  <from>
                    <xdr:col>9</xdr:col>
                    <xdr:colOff>9525</xdr:colOff>
                    <xdr:row>17</xdr:row>
                    <xdr:rowOff>9525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Button 106">
              <controlPr defaultSize="0" print="0" autoFill="0" autoPict="0" macro="[0]!SM_JP_Step3_4th">
                <anchor moveWithCells="1" sizeWithCells="1">
                  <from>
                    <xdr:col>10</xdr:col>
                    <xdr:colOff>9525</xdr:colOff>
                    <xdr:row>17</xdr:row>
                    <xdr:rowOff>9525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Button 107">
              <controlPr defaultSize="0" print="0" autoFill="0" autoPict="0" macro="[0]!SM_JP_Add">
                <anchor moveWithCells="1" sizeWithCells="1">
                  <from>
                    <xdr:col>9</xdr:col>
                    <xdr:colOff>9525</xdr:colOff>
                    <xdr:row>24</xdr:row>
                    <xdr:rowOff>9525</xdr:rowOff>
                  </from>
                  <to>
                    <xdr:col>10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Button 108">
              <controlPr defaultSize="0" print="0" autoFill="0" autoPict="0" macro="[0]!SM_JP_Remove">
                <anchor moveWithCells="1" sizeWithCells="1">
                  <from>
                    <xdr:col>10</xdr:col>
                    <xdr:colOff>9525</xdr:colOff>
                    <xdr:row>24</xdr:row>
                    <xdr:rowOff>9525</xdr:rowOff>
                  </from>
                  <to>
                    <xdr:col>11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Button 109">
              <controlPr defaultSize="0" print="0" autoFill="0" autoPict="0" macro="[0]!AddLCS_JP">
                <anchor moveWithCells="1" sizeWithCells="1">
                  <from>
                    <xdr:col>9</xdr:col>
                    <xdr:colOff>9525</xdr:colOff>
                    <xdr:row>6</xdr:row>
                    <xdr:rowOff>9525</xdr:rowOff>
                  </from>
                  <to>
                    <xdr:col>10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Button 110">
              <controlPr defaultSize="0" print="0" autoFill="0" autoPict="0" macro="[0]!TC_MinusToken_EN">
                <anchor moveWithCells="1" sizeWithCells="1">
                  <from>
                    <xdr:col>0</xdr:col>
                    <xdr:colOff>9525</xdr:colOff>
                    <xdr:row>8</xdr:row>
                    <xdr:rowOff>9525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32"/>
  <sheetViews>
    <sheetView zoomScaleNormal="100" workbookViewId="0">
      <selection activeCell="O18" sqref="O18"/>
    </sheetView>
  </sheetViews>
  <sheetFormatPr defaultColWidth="9" defaultRowHeight="14.25" x14ac:dyDescent="0.15"/>
  <cols>
    <col min="1" max="1" width="20.625" style="22" customWidth="1"/>
    <col min="2" max="5" width="14.625" style="22" customWidth="1"/>
    <col min="6" max="6" width="3.25" style="22" customWidth="1"/>
    <col min="7" max="7" width="20.625" style="22" customWidth="1"/>
    <col min="8" max="11" width="14.625" style="22" customWidth="1"/>
    <col min="12" max="16384" width="9" style="22"/>
  </cols>
  <sheetData>
    <row r="1" spans="1:11" ht="28.5" x14ac:dyDescent="0.15">
      <c r="A1" s="34" t="s">
        <v>131</v>
      </c>
      <c r="B1" s="34"/>
      <c r="C1" s="34"/>
      <c r="D1" s="34"/>
      <c r="E1" s="34"/>
      <c r="F1" s="34"/>
      <c r="G1" s="34"/>
      <c r="H1" s="34"/>
      <c r="I1" s="34"/>
      <c r="J1" s="34"/>
      <c r="K1" s="34"/>
    </row>
    <row r="2" spans="1:11" ht="28.5" x14ac:dyDescent="0.15">
      <c r="A2" s="7" t="s">
        <v>55</v>
      </c>
      <c r="B2" s="35" t="s">
        <v>133</v>
      </c>
      <c r="C2" s="35"/>
      <c r="D2" s="35"/>
      <c r="E2" s="35"/>
      <c r="F2" s="8"/>
      <c r="G2" s="7" t="s">
        <v>94</v>
      </c>
      <c r="H2" s="35" t="s">
        <v>132</v>
      </c>
      <c r="I2" s="35"/>
      <c r="J2" s="35"/>
      <c r="K2" s="35"/>
    </row>
    <row r="3" spans="1:11" ht="12.75" customHeight="1" x14ac:dyDescent="0.15">
      <c r="A3" s="9" t="s">
        <v>71</v>
      </c>
      <c r="B3" s="36" t="s">
        <v>134</v>
      </c>
      <c r="C3" s="36"/>
      <c r="D3" s="36"/>
      <c r="E3" s="36"/>
      <c r="F3" s="8"/>
      <c r="G3" s="9" t="s">
        <v>63</v>
      </c>
      <c r="H3" s="36" t="s">
        <v>130</v>
      </c>
      <c r="I3" s="36"/>
      <c r="J3" s="36"/>
      <c r="K3" s="36"/>
    </row>
    <row r="4" spans="1:11" ht="15.75" x14ac:dyDescent="0.15">
      <c r="A4" s="31" t="s">
        <v>54</v>
      </c>
      <c r="B4" s="31"/>
      <c r="C4" s="31"/>
      <c r="D4" s="31"/>
      <c r="E4" s="31"/>
      <c r="F4" s="8"/>
      <c r="G4" s="31" t="s">
        <v>51</v>
      </c>
      <c r="H4" s="31"/>
      <c r="I4" s="31"/>
      <c r="J4" s="31"/>
      <c r="K4" s="31"/>
    </row>
    <row r="5" spans="1:11" ht="17.100000000000001" customHeight="1" x14ac:dyDescent="0.15">
      <c r="A5" s="10" t="s">
        <v>14</v>
      </c>
      <c r="B5" s="3">
        <v>500</v>
      </c>
      <c r="C5" s="8"/>
      <c r="D5" s="10" t="s">
        <v>72</v>
      </c>
      <c r="E5" s="3">
        <v>0</v>
      </c>
      <c r="F5" s="8"/>
      <c r="G5" s="10" t="s">
        <v>61</v>
      </c>
      <c r="H5" s="3">
        <v>500</v>
      </c>
      <c r="I5" s="8"/>
      <c r="J5" s="10" t="s">
        <v>73</v>
      </c>
      <c r="K5" s="3">
        <v>0</v>
      </c>
    </row>
    <row r="6" spans="1:11" ht="17.100000000000001" customHeight="1" x14ac:dyDescent="0.15">
      <c r="A6" s="10" t="s">
        <v>15</v>
      </c>
      <c r="B6" s="3">
        <v>1000</v>
      </c>
      <c r="C6" s="8"/>
      <c r="D6" s="10" t="s">
        <v>123</v>
      </c>
      <c r="E6" s="3">
        <v>0</v>
      </c>
      <c r="F6" s="8"/>
      <c r="G6" s="10" t="s">
        <v>56</v>
      </c>
      <c r="H6" s="3">
        <v>1000</v>
      </c>
      <c r="I6" s="8"/>
      <c r="J6" s="10" t="s">
        <v>123</v>
      </c>
      <c r="K6" s="3">
        <v>0</v>
      </c>
    </row>
    <row r="7" spans="1:11" ht="17.100000000000001" customHeight="1" x14ac:dyDescent="0.15">
      <c r="A7" s="10" t="s">
        <v>52</v>
      </c>
      <c r="B7" s="11">
        <f>B6-B5</f>
        <v>500</v>
      </c>
      <c r="C7" s="8"/>
      <c r="D7" s="8"/>
      <c r="E7" s="8"/>
      <c r="F7" s="8"/>
      <c r="G7" s="10" t="s">
        <v>58</v>
      </c>
      <c r="H7" s="11">
        <f>H6-H5</f>
        <v>500</v>
      </c>
      <c r="I7" s="8"/>
      <c r="J7" s="8"/>
      <c r="K7" s="8"/>
    </row>
    <row r="8" spans="1:11" ht="17.100000000000001" customHeight="1" x14ac:dyDescent="0.15">
      <c r="A8" s="8"/>
      <c r="B8" s="8"/>
      <c r="C8" s="8"/>
      <c r="D8" s="8"/>
      <c r="E8" s="8"/>
      <c r="F8" s="8"/>
      <c r="G8" s="8"/>
      <c r="H8" s="8"/>
      <c r="I8" s="8"/>
      <c r="J8" s="8"/>
      <c r="K8" s="8"/>
    </row>
    <row r="9" spans="1:11" ht="17.100000000000001" customHeight="1" x14ac:dyDescent="0.15">
      <c r="A9" s="23"/>
      <c r="B9" s="13" t="s">
        <v>19</v>
      </c>
      <c r="C9" s="13" t="s">
        <v>18</v>
      </c>
      <c r="D9" s="13" t="s">
        <v>17</v>
      </c>
      <c r="E9" s="13" t="s">
        <v>16</v>
      </c>
      <c r="F9" s="8"/>
      <c r="G9" s="8"/>
      <c r="H9" s="13" t="s">
        <v>67</v>
      </c>
      <c r="I9" s="13" t="s">
        <v>68</v>
      </c>
      <c r="J9" s="13" t="s">
        <v>69</v>
      </c>
      <c r="K9" s="13" t="s">
        <v>70</v>
      </c>
    </row>
    <row r="10" spans="1:11" ht="17.100000000000001" customHeight="1" x14ac:dyDescent="0.15">
      <c r="A10" s="10" t="s">
        <v>80</v>
      </c>
      <c r="B10" s="4">
        <v>83</v>
      </c>
      <c r="C10" s="4">
        <v>46</v>
      </c>
      <c r="D10" s="4">
        <v>26</v>
      </c>
      <c r="E10" s="4">
        <v>12</v>
      </c>
      <c r="F10" s="8"/>
      <c r="G10" s="10" t="s">
        <v>65</v>
      </c>
      <c r="H10" s="4">
        <v>83</v>
      </c>
      <c r="I10" s="4">
        <v>46</v>
      </c>
      <c r="J10" s="4">
        <v>26</v>
      </c>
      <c r="K10" s="4">
        <v>12</v>
      </c>
    </row>
    <row r="11" spans="1:11" ht="17.100000000000001" customHeight="1" x14ac:dyDescent="0.15">
      <c r="A11" s="10" t="s">
        <v>20</v>
      </c>
      <c r="B11" s="4">
        <v>75</v>
      </c>
      <c r="C11" s="4">
        <v>45</v>
      </c>
      <c r="D11" s="4">
        <v>30</v>
      </c>
      <c r="E11" s="4">
        <v>15</v>
      </c>
      <c r="F11" s="8"/>
      <c r="G11" s="10" t="s">
        <v>64</v>
      </c>
      <c r="H11" s="4">
        <v>75</v>
      </c>
      <c r="I11" s="4">
        <v>45</v>
      </c>
      <c r="J11" s="4">
        <v>30</v>
      </c>
      <c r="K11" s="4">
        <v>15</v>
      </c>
    </row>
    <row r="12" spans="1:11" ht="17.100000000000001" customHeight="1" x14ac:dyDescent="0.15">
      <c r="A12" s="10" t="s">
        <v>53</v>
      </c>
      <c r="B12" s="11">
        <f>B13*B11</f>
        <v>525</v>
      </c>
      <c r="C12" s="11">
        <f>C13*C11</f>
        <v>495</v>
      </c>
      <c r="D12" s="11">
        <f>D13*D11</f>
        <v>600</v>
      </c>
      <c r="E12" s="11">
        <f>E13*E11</f>
        <v>630</v>
      </c>
      <c r="F12" s="8"/>
      <c r="G12" s="10" t="s">
        <v>119</v>
      </c>
      <c r="H12" s="11">
        <f>H13*H11</f>
        <v>525</v>
      </c>
      <c r="I12" s="11">
        <f>I13*I11</f>
        <v>495</v>
      </c>
      <c r="J12" s="11">
        <f>J13*J11</f>
        <v>600</v>
      </c>
      <c r="K12" s="11">
        <f>K13*K11</f>
        <v>630</v>
      </c>
    </row>
    <row r="13" spans="1:11" ht="17.100000000000001" customHeight="1" x14ac:dyDescent="0.15">
      <c r="A13" s="10" t="s">
        <v>165</v>
      </c>
      <c r="B13" s="11">
        <f>_xlfn.CEILING.MATH($B7/B10)</f>
        <v>7</v>
      </c>
      <c r="C13" s="11">
        <f>_xlfn.CEILING.MATH($B7/C10)</f>
        <v>11</v>
      </c>
      <c r="D13" s="11">
        <f>_xlfn.CEILING.MATH($B7/D10)</f>
        <v>20</v>
      </c>
      <c r="E13" s="11">
        <f>_xlfn.CEILING.MATH($B7/E10)</f>
        <v>42</v>
      </c>
      <c r="F13" s="8"/>
      <c r="G13" s="10" t="s">
        <v>57</v>
      </c>
      <c r="H13" s="11">
        <f>_xlfn.CEILING.MATH($H7/H10)</f>
        <v>7</v>
      </c>
      <c r="I13" s="11">
        <f>_xlfn.CEILING.MATH($H7/I10)</f>
        <v>11</v>
      </c>
      <c r="J13" s="11">
        <f>_xlfn.CEILING.MATH($H7/J10)</f>
        <v>20</v>
      </c>
      <c r="K13" s="11">
        <f>_xlfn.CEILING.MATH($H7/K10)</f>
        <v>42</v>
      </c>
    </row>
    <row r="14" spans="1:11" ht="17.100000000000001" customHeight="1" x14ac:dyDescent="0.1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</row>
    <row r="15" spans="1:11" ht="17.100000000000001" customHeight="1" x14ac:dyDescent="0.15">
      <c r="A15" s="24" t="s">
        <v>74</v>
      </c>
      <c r="B15" s="13" t="s">
        <v>49</v>
      </c>
      <c r="C15" s="13" t="s">
        <v>48</v>
      </c>
      <c r="D15" s="13" t="s">
        <v>47</v>
      </c>
      <c r="E15" s="13" t="s">
        <v>50</v>
      </c>
      <c r="F15" s="8"/>
      <c r="G15" s="25" t="s">
        <v>75</v>
      </c>
      <c r="H15" s="13" t="s">
        <v>67</v>
      </c>
      <c r="I15" s="13" t="s">
        <v>68</v>
      </c>
      <c r="J15" s="13" t="s">
        <v>69</v>
      </c>
      <c r="K15" s="13" t="s">
        <v>70</v>
      </c>
    </row>
    <row r="16" spans="1:11" ht="17.100000000000001" customHeight="1" x14ac:dyDescent="0.15">
      <c r="A16" s="10" t="s">
        <v>42</v>
      </c>
      <c r="B16" s="3">
        <v>0</v>
      </c>
      <c r="C16" s="4">
        <f>$B$16</f>
        <v>0</v>
      </c>
      <c r="D16" s="4">
        <f>$B$16</f>
        <v>0</v>
      </c>
      <c r="E16" s="4">
        <f>$B$16</f>
        <v>0</v>
      </c>
      <c r="F16" s="15"/>
      <c r="G16" s="26" t="s">
        <v>59</v>
      </c>
      <c r="H16" s="3">
        <v>0</v>
      </c>
      <c r="I16" s="4">
        <f>$H$16</f>
        <v>0</v>
      </c>
      <c r="J16" s="4">
        <f>$H$16</f>
        <v>0</v>
      </c>
      <c r="K16" s="4">
        <f>$H$16</f>
        <v>0</v>
      </c>
    </row>
    <row r="17" spans="1:11" ht="17.100000000000001" customHeight="1" x14ac:dyDescent="0.15">
      <c r="A17" s="10" t="s">
        <v>43</v>
      </c>
      <c r="B17" s="3">
        <v>0</v>
      </c>
      <c r="C17" s="4">
        <f>$B$17</f>
        <v>0</v>
      </c>
      <c r="D17" s="4">
        <f>$B$17</f>
        <v>0</v>
      </c>
      <c r="E17" s="4">
        <f>$B$17</f>
        <v>0</v>
      </c>
      <c r="F17" s="15"/>
      <c r="G17" s="26" t="s">
        <v>60</v>
      </c>
      <c r="H17" s="3">
        <v>0</v>
      </c>
      <c r="I17" s="4">
        <f>$H$17</f>
        <v>0</v>
      </c>
      <c r="J17" s="4">
        <f>$H$17</f>
        <v>0</v>
      </c>
      <c r="K17" s="4">
        <f>$H$17</f>
        <v>0</v>
      </c>
    </row>
    <row r="18" spans="1:11" ht="17.100000000000001" customHeight="1" x14ac:dyDescent="0.15">
      <c r="A18" s="10" t="s">
        <v>76</v>
      </c>
      <c r="B18" s="27">
        <v>27</v>
      </c>
      <c r="C18" s="27">
        <v>16</v>
      </c>
      <c r="D18" s="27">
        <v>10</v>
      </c>
      <c r="E18" s="27">
        <v>5</v>
      </c>
      <c r="F18" s="15"/>
      <c r="G18" s="26" t="s">
        <v>77</v>
      </c>
      <c r="H18" s="27">
        <v>27</v>
      </c>
      <c r="I18" s="27">
        <v>16</v>
      </c>
      <c r="J18" s="27">
        <v>10</v>
      </c>
      <c r="K18" s="27">
        <v>5</v>
      </c>
    </row>
    <row r="19" spans="1:11" ht="17.100000000000001" customHeight="1" x14ac:dyDescent="0.15">
      <c r="A19" s="10" t="s">
        <v>45</v>
      </c>
      <c r="B19" s="4">
        <v>75</v>
      </c>
      <c r="C19" s="4">
        <v>45</v>
      </c>
      <c r="D19" s="4">
        <v>30</v>
      </c>
      <c r="E19" s="4">
        <v>15</v>
      </c>
      <c r="F19" s="15"/>
      <c r="G19" s="10" t="s">
        <v>64</v>
      </c>
      <c r="H19" s="4">
        <v>75</v>
      </c>
      <c r="I19" s="4">
        <v>45</v>
      </c>
      <c r="J19" s="4">
        <v>30</v>
      </c>
      <c r="K19" s="4">
        <v>15</v>
      </c>
    </row>
    <row r="20" spans="1:11" ht="17.100000000000001" customHeight="1" x14ac:dyDescent="0.15">
      <c r="A20" s="10" t="s">
        <v>44</v>
      </c>
      <c r="B20" s="5">
        <v>404</v>
      </c>
      <c r="C20" s="5">
        <v>233</v>
      </c>
      <c r="D20" s="5">
        <v>140</v>
      </c>
      <c r="E20" s="5">
        <v>65</v>
      </c>
      <c r="F20" s="15"/>
      <c r="G20" s="26" t="s">
        <v>66</v>
      </c>
      <c r="H20" s="5">
        <v>404</v>
      </c>
      <c r="I20" s="5">
        <v>233</v>
      </c>
      <c r="J20" s="5">
        <v>140</v>
      </c>
      <c r="K20" s="5">
        <v>65</v>
      </c>
    </row>
    <row r="21" spans="1:11" ht="17.100000000000001" customHeight="1" x14ac:dyDescent="0.15">
      <c r="A21" s="10" t="s">
        <v>78</v>
      </c>
      <c r="B21" s="16">
        <f>_xlfn.FLOOR.MATH(B16/B19)</f>
        <v>0</v>
      </c>
      <c r="C21" s="16">
        <f>_xlfn.FLOOR.MATH(C16/C19)</f>
        <v>0</v>
      </c>
      <c r="D21" s="16">
        <f>_xlfn.FLOOR.MATH(D16/D19)</f>
        <v>0</v>
      </c>
      <c r="E21" s="16">
        <f>_xlfn.FLOOR.MATH(E16/E19)</f>
        <v>0</v>
      </c>
      <c r="F21" s="15"/>
      <c r="G21" s="26" t="s">
        <v>79</v>
      </c>
      <c r="H21" s="16">
        <f>_xlfn.FLOOR.MATH(H16/H19)</f>
        <v>0</v>
      </c>
      <c r="I21" s="16">
        <f>_xlfn.FLOOR.MATH(I16/I19)</f>
        <v>0</v>
      </c>
      <c r="J21" s="16">
        <f>_xlfn.FLOOR.MATH(J16/J19)</f>
        <v>0</v>
      </c>
      <c r="K21" s="16">
        <f>_xlfn.FLOOR.MATH(K16/K19)</f>
        <v>0</v>
      </c>
    </row>
    <row r="22" spans="1:11" ht="17.100000000000001" customHeight="1" x14ac:dyDescent="0.15">
      <c r="A22" s="10" t="s">
        <v>46</v>
      </c>
      <c r="B22" s="16">
        <f>B17+B16/B19*B20</f>
        <v>0</v>
      </c>
      <c r="C22" s="16">
        <f>C17+C16/C19*C20</f>
        <v>0</v>
      </c>
      <c r="D22" s="16">
        <f>D17+D16/D19*D20</f>
        <v>0</v>
      </c>
      <c r="E22" s="16">
        <f>E17+E16/E19*E20</f>
        <v>0</v>
      </c>
      <c r="F22" s="15"/>
      <c r="G22" s="26" t="s">
        <v>62</v>
      </c>
      <c r="H22" s="16">
        <f>H17+H16/H19*H20</f>
        <v>0</v>
      </c>
      <c r="I22" s="16">
        <f>I17+I16/I19*I20</f>
        <v>0</v>
      </c>
      <c r="J22" s="16">
        <f>J17+J16/J19*J20</f>
        <v>0</v>
      </c>
      <c r="K22" s="16">
        <f>K17+K16/K19*K20</f>
        <v>0</v>
      </c>
    </row>
    <row r="23" spans="1:11" ht="17.100000000000001" customHeight="1" x14ac:dyDescent="0.1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</row>
    <row r="24" spans="1:11" ht="17.100000000000001" customHeight="1" x14ac:dyDescent="0.1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</row>
    <row r="25" spans="1:11" ht="15.75" x14ac:dyDescent="0.1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</row>
    <row r="26" spans="1:11" ht="15.75" x14ac:dyDescent="0.1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</row>
    <row r="27" spans="1:11" ht="15.75" x14ac:dyDescent="0.1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</row>
    <row r="29" spans="1:11" ht="15.75" x14ac:dyDescent="0.1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</row>
    <row r="30" spans="1:11" ht="15.75" x14ac:dyDescent="0.1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</row>
    <row r="31" spans="1:11" ht="15.75" x14ac:dyDescent="0.1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</row>
    <row r="32" spans="1:11" ht="15.75" x14ac:dyDescent="0.1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</row>
  </sheetData>
  <customSheetViews>
    <customSheetView guid="{71839DD1-DC74-4C47-AECB-6BDC027C692D}">
      <selection activeCell="H15" sqref="H15"/>
      <pageMargins left="0.7" right="0.7" top="0.75" bottom="0.75" header="0.3" footer="0.3"/>
      <pageSetup paperSize="9" orientation="portrait" r:id="rId1"/>
    </customSheetView>
  </customSheetViews>
  <mergeCells count="7">
    <mergeCell ref="A4:E4"/>
    <mergeCell ref="G4:K4"/>
    <mergeCell ref="A1:K1"/>
    <mergeCell ref="B2:E2"/>
    <mergeCell ref="H2:K2"/>
    <mergeCell ref="B3:E3"/>
    <mergeCell ref="H3:K3"/>
  </mergeCells>
  <phoneticPr fontId="2"/>
  <conditionalFormatting sqref="B13:E13">
    <cfRule type="iconSet" priority="3">
      <iconSet iconSet="3Symbols">
        <cfvo type="percent" val="0"/>
        <cfvo type="num" val="6"/>
        <cfvo type="num" val="15"/>
      </iconSet>
    </cfRule>
    <cfRule type="colorScale" priority="4">
      <colorScale>
        <cfvo type="num" val="0"/>
        <cfvo type="num" val="12"/>
        <cfvo type="num" val="20"/>
        <color rgb="FFFF0000"/>
        <color rgb="FFFFEB84"/>
        <color rgb="FF00B050"/>
      </colorScale>
    </cfRule>
  </conditionalFormatting>
  <conditionalFormatting sqref="H13:K13">
    <cfRule type="iconSet" priority="1">
      <iconSet iconSet="3Symbols">
        <cfvo type="percent" val="0"/>
        <cfvo type="num" val="6"/>
        <cfvo type="num" val="15"/>
      </iconSet>
    </cfRule>
    <cfRule type="colorScale" priority="2">
      <colorScale>
        <cfvo type="num" val="0"/>
        <cfvo type="num" val="12"/>
        <cfvo type="num" val="20"/>
        <color rgb="FFFF0000"/>
        <color rgb="FFFFEB84"/>
        <color rgb="FF00B050"/>
      </colorScale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C_AddEXP_JP_Token_Expert">
                <anchor moveWithCells="1" sizeWithCells="1">
                  <from>
                    <xdr:col>7</xdr:col>
                    <xdr:colOff>9525</xdr:colOff>
                    <xdr:row>14</xdr:row>
                    <xdr:rowOff>9525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TC_AddEXP_JP_Token_Expert_4x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8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TC_AddEXP_JP_Token_Hard_4x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9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Button 18">
              <controlPr defaultSize="0" print="0" autoFill="0" autoPict="0" macro="[0]!TC_AddEXP_JP_Token_Hard">
                <anchor moveWithCells="1" sizeWithCells="1">
                  <from>
                    <xdr:col>8</xdr:col>
                    <xdr:colOff>9525</xdr:colOff>
                    <xdr:row>14</xdr:row>
                    <xdr:rowOff>9525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TC_AddEXP_EN_Token_Expert">
                <anchor moveWithCells="1" sizeWithCells="1">
                  <from>
                    <xdr:col>1</xdr:col>
                    <xdr:colOff>9525</xdr:colOff>
                    <xdr:row>14</xdr:row>
                    <xdr:rowOff>9525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Button 20">
              <controlPr defaultSize="0" print="0" autoFill="0" autoPict="0" macro="[0]!TC_AddEXP_EN_Token_Hard">
                <anchor moveWithCells="1" sizeWithCells="1">
                  <from>
                    <xdr:col>2</xdr:col>
                    <xdr:colOff>9525</xdr:colOff>
                    <xdr:row>14</xdr:row>
                    <xdr:rowOff>9525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Button 21">
              <controlPr defaultSize="0" print="0" autoFill="0" autoPict="0" macro="[0]!TC_AddEXP_EN_Expert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2" name="Button 22">
              <controlPr defaultSize="0" print="0" autoFill="0" autoPict="0" macro="[0]!TC_AddEXP_EN_Hard">
                <anchor moveWithCells="1" sizeWithCells="1">
                  <from>
                    <xdr:col>2</xdr:col>
                    <xdr:colOff>9525</xdr:colOff>
                    <xdr:row>8</xdr:row>
                    <xdr:rowOff>9525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3" name="Button 24">
              <controlPr defaultSize="0" print="0" autoFill="0" autoPict="0" macro="[0]!TC_AddEXP_EN_Token_Normal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4" name="Button 26">
              <controlPr defaultSize="0" print="0" autoFill="0" autoPict="0" macro="[0]!TC_AddEXP_JP_Expert">
                <anchor moveWithCells="1" sizeWithCells="1">
                  <from>
                    <xdr:col>7</xdr:col>
                    <xdr:colOff>9525</xdr:colOff>
                    <xdr:row>8</xdr:row>
                    <xdr:rowOff>9525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5" name="Button 27">
              <controlPr defaultSize="0" print="0" autoFill="0" autoPict="0" macro="[0]!TC_AddEXP_JP_Hard">
                <anchor moveWithCells="1" sizeWithCells="1">
                  <from>
                    <xdr:col>8</xdr:col>
                    <xdr:colOff>9525</xdr:colOff>
                    <xdr:row>8</xdr:row>
                    <xdr:rowOff>9525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0]!TC_MinusToken_EN">
                <anchor moveWithCells="1" sizeWithCells="1">
                  <from>
                    <xdr:col>0</xdr:col>
                    <xdr:colOff>9525</xdr:colOff>
                    <xdr:row>8</xdr:row>
                    <xdr:rowOff>9525</xdr:rowOff>
                  </from>
                  <to>
                    <xdr:col>0</xdr:col>
                    <xdr:colOff>1571625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TC_MinusToken_JP">
                <anchor moveWithCells="1" sizeWithCells="1">
                  <from>
                    <xdr:col>6</xdr:col>
                    <xdr:colOff>9525</xdr:colOff>
                    <xdr:row>8</xdr:row>
                    <xdr:rowOff>9525</xdr:rowOff>
                  </from>
                  <to>
                    <xdr:col>6</xdr:col>
                    <xdr:colOff>1571625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TC_AddEXP_EN_Token_Hard_4x">
                <anchor moveWithCells="1" sizeWithCells="1">
                  <from>
                    <xdr:col>2</xdr:col>
                    <xdr:colOff>9525</xdr:colOff>
                    <xdr:row>23</xdr:row>
                    <xdr:rowOff>9525</xdr:rowOff>
                  </from>
                  <to>
                    <xdr:col>3</xdr:col>
                    <xdr:colOff>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AddLCS_EN">
                <anchor moveWithCells="1" siz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1104900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AddLCS_JP">
                <anchor moveWithCells="1" sizeWithCells="1">
                  <from>
                    <xdr:col>9</xdr:col>
                    <xdr:colOff>9525</xdr:colOff>
                    <xdr:row>6</xdr:row>
                    <xdr:rowOff>9525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TC_AddEXP_EN_Normal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TC_AddEXP_EN_Easy">
                <anchor moveWithCells="1" siz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TC_AddEXP_EN_Token_Hard_4x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4</xdr:col>
                    <xdr:colOff>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TC_AddEXP_EN_Token_Easy_4x">
                <anchor moveWithCells="1" sizeWithCells="1">
                  <from>
                    <xdr:col>4</xdr:col>
                    <xdr:colOff>9525</xdr:colOff>
                    <xdr:row>23</xdr:row>
                    <xdr:rowOff>9525</xdr:rowOff>
                  </from>
                  <to>
                    <xdr:col>5</xdr:col>
                    <xdr:colOff>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TC_AddEXP_EN_Token_Easy">
                <anchor moveWithCells="1" sizeWithCells="1">
                  <from>
                    <xdr:col>4</xdr:col>
                    <xdr:colOff>9525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TC_AddEXP_JP_Token_Normal_4x">
                <anchor moveWithCells="1" sizeWithCells="1">
                  <from>
                    <xdr:col>9</xdr:col>
                    <xdr:colOff>9525</xdr:colOff>
                    <xdr:row>23</xdr:row>
                    <xdr:rowOff>9525</xdr:rowOff>
                  </from>
                  <to>
                    <xdr:col>10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TC_AddEXP_JP_Token_Normal">
                <anchor moveWithCells="1" sizeWithCells="1">
                  <from>
                    <xdr:col>9</xdr:col>
                    <xdr:colOff>9525</xdr:colOff>
                    <xdr:row>14</xdr:row>
                    <xdr:rowOff>9525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TC_AddEXP_JP_Normal">
                <anchor moveWithCells="1" sizeWithCells="1">
                  <from>
                    <xdr:col>9</xdr:col>
                    <xdr:colOff>9525</xdr:colOff>
                    <xdr:row>8</xdr:row>
                    <xdr:rowOff>9525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TC_AddEXP_JP_Easy">
                <anchor moveWithCells="1" sizeWithCells="1">
                  <from>
                    <xdr:col>10</xdr:col>
                    <xdr:colOff>9525</xdr:colOff>
                    <xdr:row>8</xdr:row>
                    <xdr:rowOff>9525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TC_AddEXP_JP_Token_Easy">
                <anchor moveWithCells="1" sizeWithCells="1">
                  <from>
                    <xdr:col>10</xdr:col>
                    <xdr:colOff>9525</xdr:colOff>
                    <xdr:row>14</xdr:row>
                    <xdr:rowOff>9525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TC_AddEXP_JP_Token_Easy_4x">
                <anchor moveWithCells="1" siz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31"/>
  <sheetViews>
    <sheetView zoomScaleNormal="100" workbookViewId="0">
      <selection activeCell="G2" sqref="G2:K31"/>
    </sheetView>
  </sheetViews>
  <sheetFormatPr defaultColWidth="9" defaultRowHeight="15.75" x14ac:dyDescent="0.15"/>
  <cols>
    <col min="1" max="1" width="20.625" style="6" customWidth="1"/>
    <col min="2" max="5" width="14.625" style="6" customWidth="1"/>
    <col min="6" max="6" width="3.25" style="6" customWidth="1"/>
    <col min="7" max="7" width="20.625" style="6" customWidth="1"/>
    <col min="8" max="11" width="14.625" style="6" customWidth="1"/>
    <col min="12" max="16384" width="9" style="6"/>
  </cols>
  <sheetData>
    <row r="1" spans="1:11" ht="28.5" x14ac:dyDescent="0.15">
      <c r="A1" s="34" t="s">
        <v>81</v>
      </c>
      <c r="B1" s="34"/>
      <c r="C1" s="34"/>
      <c r="D1" s="34"/>
      <c r="E1" s="34"/>
      <c r="F1" s="34"/>
      <c r="G1" s="34"/>
      <c r="H1" s="34"/>
      <c r="I1" s="34"/>
      <c r="J1" s="34"/>
      <c r="K1" s="34"/>
    </row>
    <row r="2" spans="1:11" ht="28.5" x14ac:dyDescent="0.15">
      <c r="A2" s="7" t="s">
        <v>55</v>
      </c>
      <c r="B2" s="35" t="s">
        <v>93</v>
      </c>
      <c r="C2" s="35"/>
      <c r="D2" s="35"/>
      <c r="E2" s="35"/>
      <c r="F2" s="8"/>
      <c r="G2" s="7" t="s">
        <v>94</v>
      </c>
      <c r="H2" s="35" t="s">
        <v>82</v>
      </c>
      <c r="I2" s="35"/>
      <c r="J2" s="35"/>
      <c r="K2" s="35"/>
    </row>
    <row r="3" spans="1:11" ht="12.75" customHeight="1" x14ac:dyDescent="0.15">
      <c r="A3" s="9" t="s">
        <v>71</v>
      </c>
      <c r="B3" s="36" t="s">
        <v>96</v>
      </c>
      <c r="C3" s="36"/>
      <c r="D3" s="36"/>
      <c r="E3" s="36"/>
      <c r="F3" s="8"/>
      <c r="G3" s="9" t="s">
        <v>63</v>
      </c>
      <c r="H3" s="36" t="s">
        <v>95</v>
      </c>
      <c r="I3" s="36"/>
      <c r="J3" s="36"/>
      <c r="K3" s="36"/>
    </row>
    <row r="4" spans="1:11" x14ac:dyDescent="0.15">
      <c r="A4" s="31" t="s">
        <v>54</v>
      </c>
      <c r="B4" s="31"/>
      <c r="C4" s="31"/>
      <c r="D4" s="31"/>
      <c r="E4" s="31"/>
      <c r="F4" s="8"/>
      <c r="G4" s="31" t="s">
        <v>51</v>
      </c>
      <c r="H4" s="31"/>
      <c r="I4" s="31"/>
      <c r="J4" s="31"/>
      <c r="K4" s="31"/>
    </row>
    <row r="5" spans="1:11" ht="17.100000000000001" customHeight="1" x14ac:dyDescent="0.15">
      <c r="A5" s="10" t="s">
        <v>14</v>
      </c>
      <c r="B5" s="3">
        <v>727</v>
      </c>
      <c r="C5" s="8"/>
      <c r="D5" s="10" t="s">
        <v>72</v>
      </c>
      <c r="E5" s="3">
        <v>15</v>
      </c>
      <c r="F5" s="8"/>
      <c r="G5" s="10" t="s">
        <v>61</v>
      </c>
      <c r="H5" s="3">
        <v>639</v>
      </c>
      <c r="I5" s="8"/>
      <c r="J5" s="10" t="s">
        <v>73</v>
      </c>
      <c r="K5" s="3">
        <v>25</v>
      </c>
    </row>
    <row r="6" spans="1:11" ht="17.100000000000001" customHeight="1" x14ac:dyDescent="0.15">
      <c r="A6" s="10" t="s">
        <v>15</v>
      </c>
      <c r="B6" s="3">
        <v>4065</v>
      </c>
      <c r="C6" s="8"/>
      <c r="D6" s="10" t="s">
        <v>122</v>
      </c>
      <c r="E6" s="3">
        <v>4</v>
      </c>
      <c r="F6" s="8"/>
      <c r="G6" s="10" t="s">
        <v>56</v>
      </c>
      <c r="H6" s="3">
        <v>4548</v>
      </c>
      <c r="I6" s="8"/>
      <c r="J6" s="10" t="s">
        <v>123</v>
      </c>
      <c r="K6" s="3">
        <v>4</v>
      </c>
    </row>
    <row r="7" spans="1:11" ht="17.100000000000001" customHeight="1" x14ac:dyDescent="0.15">
      <c r="A7" s="10" t="s">
        <v>52</v>
      </c>
      <c r="B7" s="11">
        <f>B6-B5</f>
        <v>3338</v>
      </c>
      <c r="C7" s="8"/>
      <c r="D7" s="8"/>
      <c r="E7" s="8"/>
      <c r="F7" s="8"/>
      <c r="G7" s="10" t="s">
        <v>58</v>
      </c>
      <c r="H7" s="11">
        <f>H6-H5</f>
        <v>3909</v>
      </c>
      <c r="I7" s="8"/>
      <c r="J7" s="8"/>
      <c r="K7" s="8"/>
    </row>
    <row r="8" spans="1:11" ht="17.100000000000001" customHeight="1" x14ac:dyDescent="0.15">
      <c r="A8" s="8"/>
      <c r="B8" s="8"/>
      <c r="C8" s="8"/>
      <c r="D8" s="8"/>
      <c r="E8" s="8"/>
      <c r="F8" s="8"/>
      <c r="G8" s="8"/>
      <c r="H8" s="8"/>
      <c r="I8" s="8"/>
      <c r="J8" s="8"/>
      <c r="K8" s="8"/>
    </row>
    <row r="9" spans="1:11" ht="17.100000000000001" customHeight="1" x14ac:dyDescent="0.15">
      <c r="A9" s="12" t="s">
        <v>99</v>
      </c>
      <c r="B9" s="13" t="s">
        <v>67</v>
      </c>
      <c r="C9" s="13" t="s">
        <v>68</v>
      </c>
      <c r="D9" s="13" t="s">
        <v>69</v>
      </c>
      <c r="E9" s="13" t="s">
        <v>70</v>
      </c>
      <c r="F9" s="8"/>
      <c r="G9" s="12" t="s">
        <v>114</v>
      </c>
      <c r="H9" s="13" t="s">
        <v>67</v>
      </c>
      <c r="I9" s="13" t="s">
        <v>68</v>
      </c>
      <c r="J9" s="13" t="s">
        <v>69</v>
      </c>
      <c r="K9" s="13" t="s">
        <v>70</v>
      </c>
    </row>
    <row r="10" spans="1:11" ht="17.100000000000001" customHeight="1" x14ac:dyDescent="0.15">
      <c r="A10" s="10" t="s">
        <v>105</v>
      </c>
      <c r="B10" s="4">
        <v>83</v>
      </c>
      <c r="C10" s="4">
        <v>46</v>
      </c>
      <c r="D10" s="4">
        <v>26</v>
      </c>
      <c r="E10" s="4">
        <v>12</v>
      </c>
      <c r="F10" s="8"/>
      <c r="G10" s="10" t="s">
        <v>65</v>
      </c>
      <c r="H10" s="4">
        <v>83</v>
      </c>
      <c r="I10" s="4">
        <v>46</v>
      </c>
      <c r="J10" s="4">
        <v>26</v>
      </c>
      <c r="K10" s="4">
        <v>12</v>
      </c>
    </row>
    <row r="11" spans="1:11" ht="17.100000000000001" customHeight="1" x14ac:dyDescent="0.15">
      <c r="A11" s="10" t="s">
        <v>109</v>
      </c>
      <c r="B11" s="4">
        <v>25</v>
      </c>
      <c r="C11" s="4">
        <v>15</v>
      </c>
      <c r="D11" s="4">
        <v>10</v>
      </c>
      <c r="E11" s="4">
        <v>5</v>
      </c>
      <c r="F11" s="8"/>
      <c r="G11" s="10" t="s">
        <v>108</v>
      </c>
      <c r="H11" s="4">
        <v>25</v>
      </c>
      <c r="I11" s="4">
        <v>15</v>
      </c>
      <c r="J11" s="4">
        <v>10</v>
      </c>
      <c r="K11" s="4">
        <v>5</v>
      </c>
    </row>
    <row r="12" spans="1:11" ht="17.100000000000001" customHeight="1" x14ac:dyDescent="0.15">
      <c r="A12" s="10" t="s">
        <v>92</v>
      </c>
      <c r="B12" s="4">
        <v>272</v>
      </c>
      <c r="C12" s="4">
        <v>163</v>
      </c>
      <c r="D12" s="4">
        <v>89</v>
      </c>
      <c r="E12" s="4">
        <v>36</v>
      </c>
      <c r="F12" s="8"/>
      <c r="G12" s="10" t="s">
        <v>120</v>
      </c>
      <c r="H12" s="4">
        <v>272</v>
      </c>
      <c r="I12" s="4">
        <v>163</v>
      </c>
      <c r="J12" s="4">
        <v>89</v>
      </c>
      <c r="K12" s="4">
        <v>36</v>
      </c>
    </row>
    <row r="13" spans="1:11" ht="17.100000000000001" customHeight="1" x14ac:dyDescent="0.15">
      <c r="A13" s="10" t="s">
        <v>106</v>
      </c>
      <c r="B13" s="11">
        <f>_xlfn.CEILING.MATH($B7/B10)</f>
        <v>41</v>
      </c>
      <c r="C13" s="11">
        <f>_xlfn.CEILING.MATH($B7/C10)</f>
        <v>73</v>
      </c>
      <c r="D13" s="11">
        <f>_xlfn.CEILING.MATH($B7/D10)</f>
        <v>129</v>
      </c>
      <c r="E13" s="11">
        <f>_xlfn.CEILING.MATH($B7/E10)</f>
        <v>279</v>
      </c>
      <c r="F13" s="8"/>
      <c r="G13" s="10" t="s">
        <v>57</v>
      </c>
      <c r="H13" s="11">
        <f>_xlfn.CEILING.MATH($H7/H10)</f>
        <v>48</v>
      </c>
      <c r="I13" s="11">
        <f>_xlfn.CEILING.MATH($H7/I10)</f>
        <v>85</v>
      </c>
      <c r="J13" s="11">
        <f>_xlfn.CEILING.MATH($H7/J10)</f>
        <v>151</v>
      </c>
      <c r="K13" s="11">
        <f>_xlfn.CEILING.MATH($H7/K10)</f>
        <v>326</v>
      </c>
    </row>
    <row r="14" spans="1:11" ht="17.100000000000001" customHeight="1" x14ac:dyDescent="0.1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</row>
    <row r="15" spans="1:11" ht="17.100000000000001" customHeight="1" x14ac:dyDescent="0.15">
      <c r="A15" s="12" t="s">
        <v>100</v>
      </c>
      <c r="B15" s="14" t="s">
        <v>83</v>
      </c>
      <c r="C15" s="14" t="s">
        <v>84</v>
      </c>
      <c r="D15" s="14" t="s">
        <v>85</v>
      </c>
      <c r="E15" s="14" t="s">
        <v>90</v>
      </c>
      <c r="F15" s="8"/>
      <c r="G15" s="12" t="s">
        <v>112</v>
      </c>
      <c r="H15" s="14" t="s">
        <v>83</v>
      </c>
      <c r="I15" s="14" t="s">
        <v>84</v>
      </c>
      <c r="J15" s="14" t="s">
        <v>85</v>
      </c>
      <c r="K15" s="14" t="s">
        <v>90</v>
      </c>
    </row>
    <row r="16" spans="1:11" ht="17.100000000000001" customHeight="1" x14ac:dyDescent="0.15">
      <c r="A16" s="10" t="s">
        <v>91</v>
      </c>
      <c r="B16" s="17">
        <v>1.2</v>
      </c>
      <c r="C16" s="17">
        <v>1.1499999999999999</v>
      </c>
      <c r="D16" s="17">
        <v>1.1000000000000001</v>
      </c>
      <c r="E16" s="17">
        <v>1.05</v>
      </c>
      <c r="F16" s="18"/>
      <c r="G16" s="19" t="s">
        <v>91</v>
      </c>
      <c r="H16" s="17">
        <v>1.2</v>
      </c>
      <c r="I16" s="17">
        <v>1.1499999999999999</v>
      </c>
      <c r="J16" s="17">
        <v>1.1000000000000001</v>
      </c>
      <c r="K16" s="17">
        <v>1.05</v>
      </c>
    </row>
    <row r="17" spans="1:11" ht="17.100000000000001" customHeight="1" x14ac:dyDescent="0.1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</row>
    <row r="18" spans="1:11" ht="17.100000000000001" customHeight="1" x14ac:dyDescent="0.15">
      <c r="A18" s="12" t="s">
        <v>101</v>
      </c>
      <c r="B18" s="13" t="s">
        <v>86</v>
      </c>
      <c r="C18" s="13" t="s">
        <v>87</v>
      </c>
      <c r="D18" s="13" t="s">
        <v>88</v>
      </c>
      <c r="E18" s="13" t="s">
        <v>89</v>
      </c>
      <c r="F18" s="15"/>
      <c r="G18" s="12" t="s">
        <v>113</v>
      </c>
      <c r="H18" s="13" t="s">
        <v>86</v>
      </c>
      <c r="I18" s="13" t="s">
        <v>87</v>
      </c>
      <c r="J18" s="13" t="s">
        <v>88</v>
      </c>
      <c r="K18" s="13" t="s">
        <v>89</v>
      </c>
    </row>
    <row r="19" spans="1:11" ht="17.100000000000001" customHeight="1" x14ac:dyDescent="0.15">
      <c r="A19" s="10" t="s">
        <v>91</v>
      </c>
      <c r="B19" s="4">
        <v>1.25</v>
      </c>
      <c r="C19" s="4">
        <v>1.1499999999999999</v>
      </c>
      <c r="D19" s="4">
        <v>1.05</v>
      </c>
      <c r="E19" s="17">
        <v>1</v>
      </c>
      <c r="F19" s="8"/>
      <c r="G19" s="10" t="s">
        <v>91</v>
      </c>
      <c r="H19" s="17">
        <v>1.25</v>
      </c>
      <c r="I19" s="17">
        <v>1.1499999999999999</v>
      </c>
      <c r="J19" s="17">
        <v>1.05</v>
      </c>
      <c r="K19" s="17">
        <v>1</v>
      </c>
    </row>
    <row r="20" spans="1:11" ht="17.100000000000001" customHeight="1" x14ac:dyDescent="0.1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</row>
    <row r="21" spans="1:11" ht="17.100000000000001" customHeight="1" x14ac:dyDescent="0.15">
      <c r="A21" s="10" t="s">
        <v>102</v>
      </c>
      <c r="B21" s="20" t="s">
        <v>49</v>
      </c>
      <c r="C21" s="20">
        <v>83</v>
      </c>
      <c r="D21" s="10" t="s">
        <v>107</v>
      </c>
      <c r="E21" s="20">
        <v>25</v>
      </c>
      <c r="F21" s="8"/>
      <c r="G21" s="10" t="s">
        <v>102</v>
      </c>
      <c r="H21" s="20" t="s">
        <v>49</v>
      </c>
      <c r="I21" s="20">
        <v>83</v>
      </c>
      <c r="J21" s="10" t="s">
        <v>107</v>
      </c>
      <c r="K21" s="20">
        <v>25</v>
      </c>
    </row>
    <row r="22" spans="1:11" ht="17.100000000000001" customHeight="1" x14ac:dyDescent="0.15">
      <c r="A22" s="10" t="s">
        <v>110</v>
      </c>
      <c r="B22" s="20" t="s">
        <v>49</v>
      </c>
      <c r="C22" s="20">
        <v>272</v>
      </c>
      <c r="D22" s="8"/>
      <c r="E22" s="8"/>
      <c r="F22" s="8"/>
      <c r="G22" s="10" t="s">
        <v>97</v>
      </c>
      <c r="H22" s="20" t="s">
        <v>126</v>
      </c>
      <c r="I22" s="20">
        <v>272</v>
      </c>
      <c r="J22" s="8"/>
      <c r="K22" s="8"/>
    </row>
    <row r="23" spans="1:11" ht="17.100000000000001" customHeight="1" x14ac:dyDescent="0.15">
      <c r="A23" s="10" t="s">
        <v>111</v>
      </c>
      <c r="B23" s="20" t="s">
        <v>127</v>
      </c>
      <c r="C23" s="21">
        <v>1.2</v>
      </c>
      <c r="D23" s="8"/>
      <c r="E23" s="8"/>
      <c r="F23" s="8"/>
      <c r="G23" s="10" t="s">
        <v>116</v>
      </c>
      <c r="H23" s="20" t="s">
        <v>129</v>
      </c>
      <c r="I23" s="21">
        <v>1.1000000000000001</v>
      </c>
      <c r="J23" s="8"/>
      <c r="K23" s="8"/>
    </row>
    <row r="24" spans="1:11" ht="17.100000000000001" customHeight="1" x14ac:dyDescent="0.15">
      <c r="A24" s="10" t="s">
        <v>98</v>
      </c>
      <c r="B24" s="20" t="s">
        <v>128</v>
      </c>
      <c r="C24" s="21">
        <v>1.1499999999999999</v>
      </c>
      <c r="D24" s="8"/>
      <c r="E24" s="8"/>
      <c r="F24" s="8"/>
      <c r="G24" s="10" t="s">
        <v>115</v>
      </c>
      <c r="H24" s="20" t="s">
        <v>125</v>
      </c>
      <c r="I24" s="21">
        <v>1.1499999999999999</v>
      </c>
      <c r="J24" s="8"/>
      <c r="K24" s="8"/>
    </row>
    <row r="25" spans="1:11" ht="17.100000000000001" customHeight="1" x14ac:dyDescent="0.15">
      <c r="A25" s="32" t="s">
        <v>103</v>
      </c>
      <c r="B25" s="33"/>
      <c r="C25" s="16">
        <f>C22*C23*C24</f>
        <v>375.35999999999996</v>
      </c>
      <c r="D25" s="8"/>
      <c r="E25" s="8"/>
      <c r="F25" s="15"/>
      <c r="G25" s="32" t="s">
        <v>103</v>
      </c>
      <c r="H25" s="33"/>
      <c r="I25" s="16">
        <f>I22*I23*I24</f>
        <v>344.08000000000004</v>
      </c>
      <c r="J25" s="8"/>
      <c r="K25" s="8"/>
    </row>
    <row r="26" spans="1:11" ht="17.100000000000001" customHeight="1" x14ac:dyDescent="0.15">
      <c r="A26" s="8"/>
      <c r="B26" s="8"/>
      <c r="C26" s="8"/>
      <c r="D26" s="8"/>
      <c r="E26" s="8"/>
      <c r="F26" s="15"/>
      <c r="G26" s="8"/>
      <c r="H26" s="8"/>
      <c r="I26" s="8"/>
      <c r="J26" s="8"/>
      <c r="K26" s="8"/>
    </row>
    <row r="27" spans="1:11" ht="17.100000000000001" customHeight="1" x14ac:dyDescent="0.1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</row>
    <row r="28" spans="1:11" ht="17.100000000000001" customHeight="1" x14ac:dyDescent="0.15">
      <c r="A28" s="10" t="s">
        <v>43</v>
      </c>
      <c r="B28" s="3">
        <v>61586</v>
      </c>
      <c r="C28" s="8"/>
      <c r="D28" s="8"/>
      <c r="E28" s="8"/>
      <c r="F28" s="8"/>
      <c r="G28" s="10" t="s">
        <v>60</v>
      </c>
      <c r="H28" s="3">
        <v>74293</v>
      </c>
      <c r="I28" s="8"/>
      <c r="J28" s="8"/>
      <c r="K28" s="8"/>
    </row>
    <row r="29" spans="1:11" ht="17.100000000000001" customHeight="1" x14ac:dyDescent="0.15">
      <c r="A29" s="10" t="s">
        <v>104</v>
      </c>
      <c r="B29" s="3">
        <v>65000</v>
      </c>
      <c r="C29" s="8"/>
      <c r="D29" s="8"/>
      <c r="E29" s="8"/>
      <c r="F29" s="8"/>
      <c r="G29" s="10" t="s">
        <v>117</v>
      </c>
      <c r="H29" s="3">
        <v>75000</v>
      </c>
      <c r="I29" s="8"/>
      <c r="J29" s="8"/>
      <c r="K29" s="8"/>
    </row>
    <row r="30" spans="1:11" ht="17.100000000000001" customHeight="1" x14ac:dyDescent="0.15">
      <c r="A30" s="10" t="s">
        <v>121</v>
      </c>
      <c r="B30" s="3">
        <v>375</v>
      </c>
      <c r="C30" s="8"/>
      <c r="D30" s="8"/>
      <c r="E30" s="8"/>
      <c r="F30" s="8"/>
      <c r="G30" s="10" t="s">
        <v>121</v>
      </c>
      <c r="H30" s="3">
        <v>343</v>
      </c>
      <c r="I30" s="8"/>
      <c r="J30" s="8"/>
      <c r="K30" s="8"/>
    </row>
    <row r="31" spans="1:11" ht="17.100000000000001" customHeight="1" x14ac:dyDescent="0.15">
      <c r="A31" s="10" t="s">
        <v>124</v>
      </c>
      <c r="B31" s="16">
        <f>(B29-B28)/B30*E21</f>
        <v>227.59999999999997</v>
      </c>
      <c r="C31" s="8"/>
      <c r="D31" s="8"/>
      <c r="E31" s="8"/>
      <c r="F31" s="8"/>
      <c r="G31" s="10" t="s">
        <v>118</v>
      </c>
      <c r="H31" s="16">
        <f>(H29-H28)/H30*K21</f>
        <v>51.530612244897952</v>
      </c>
      <c r="I31" s="8"/>
      <c r="J31" s="8"/>
      <c r="K31" s="8"/>
    </row>
  </sheetData>
  <mergeCells count="9">
    <mergeCell ref="G25:H25"/>
    <mergeCell ref="A25:B25"/>
    <mergeCell ref="A4:E4"/>
    <mergeCell ref="G4:K4"/>
    <mergeCell ref="A1:K1"/>
    <mergeCell ref="B2:E2"/>
    <mergeCell ref="H2:K2"/>
    <mergeCell ref="B3:E3"/>
    <mergeCell ref="H3:K3"/>
  </mergeCells>
  <phoneticPr fontId="2"/>
  <conditionalFormatting sqref="B13:E13">
    <cfRule type="colorScale" priority="3">
      <colorScale>
        <cfvo type="num" val="0"/>
        <cfvo type="num" val="14"/>
        <cfvo type="num" val="20"/>
        <color rgb="FFFF0000"/>
        <color rgb="FFFFC000"/>
        <color rgb="FF00B050"/>
      </colorScale>
    </cfRule>
    <cfRule type="iconSet" priority="7">
      <iconSet iconSet="3Symbols">
        <cfvo type="percent" val="0"/>
        <cfvo type="num" val="6"/>
        <cfvo type="num" val="15"/>
      </iconSet>
    </cfRule>
  </conditionalFormatting>
  <conditionalFormatting sqref="H13:K13">
    <cfRule type="colorScale" priority="1">
      <colorScale>
        <cfvo type="num" val="0"/>
        <cfvo type="num" val="12"/>
        <cfvo type="num" val="20"/>
        <color rgb="FFFF0000"/>
        <color rgb="FFFFC000"/>
        <color rgb="FF00B050"/>
      </colorScale>
    </cfRule>
    <cfRule type="iconSet" priority="4">
      <iconSet iconSet="3Symbols">
        <cfvo type="percent" val="0"/>
        <cfvo type="num" val="6"/>
        <cfvo type="num" val="15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SM_JP_Step1_Expert">
                <anchor moveWithCells="1" sizeWithCells="1">
                  <from>
                    <xdr:col>7</xdr:col>
                    <xdr:colOff>9525</xdr:colOff>
                    <xdr:row>8</xdr:row>
                    <xdr:rowOff>9525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5" name="Button 38">
              <controlPr defaultSize="0" print="0" autoFill="0" autoPict="0" macro="[0]!SM_JP_Step2_S">
                <anchor moveWithCells="1" sizeWithCells="1">
                  <from>
                    <xdr:col>7</xdr:col>
                    <xdr:colOff>9525</xdr:colOff>
                    <xdr:row>14</xdr:row>
                    <xdr:rowOff>9525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6" name="Button 39">
              <controlPr defaultSize="0" print="0" autoFill="0" autoPict="0" macro="[0]!SM_JP_Step2_A">
                <anchor moveWithCells="1" sizeWithCells="1">
                  <from>
                    <xdr:col>8</xdr:col>
                    <xdr:colOff>9525</xdr:colOff>
                    <xdr:row>14</xdr:row>
                    <xdr:rowOff>9525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SM_JP_Step3_1st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Fill="0" autoPict="0" macro="[0]!SM_JP_Step3_2nd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Button 42">
              <controlPr defaultSize="0" print="0" autoFill="0" autoPict="0" macro="[0]!SM_JP_Step2_B">
                <anchor moveWithCells="1" sizeWithCells="1">
                  <from>
                    <xdr:col>9</xdr:col>
                    <xdr:colOff>9525</xdr:colOff>
                    <xdr:row>14</xdr:row>
                    <xdr:rowOff>9525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SM_JP_Step2_C">
                <anchor moveWithCells="1" sizeWithCells="1">
                  <from>
                    <xdr:col>10</xdr:col>
                    <xdr:colOff>9525</xdr:colOff>
                    <xdr:row>14</xdr:row>
                    <xdr:rowOff>9525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1" name="Button 44">
              <controlPr defaultSize="0" print="0" autoFill="0" autoPict="0" macro="[0]!SM_JP_Step1_Hard">
                <anchor moveWithCells="1" sizeWithCells="1">
                  <from>
                    <xdr:col>8</xdr:col>
                    <xdr:colOff>9525</xdr:colOff>
                    <xdr:row>8</xdr:row>
                    <xdr:rowOff>9525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12" name="Button 45">
              <controlPr defaultSize="0" print="0" autoFill="0" autoPict="0" macro="[0]!SM_JP_Step1_Normal">
                <anchor moveWithCells="1" sizeWithCells="1">
                  <from>
                    <xdr:col>9</xdr:col>
                    <xdr:colOff>9525</xdr:colOff>
                    <xdr:row>8</xdr:row>
                    <xdr:rowOff>9525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3" name="Button 46">
              <controlPr defaultSize="0" print="0" autoFill="0" autoPict="0" macro="[0]!SM_JP_Step1_Easy">
                <anchor moveWithCells="1" sizeWithCells="1">
                  <from>
                    <xdr:col>10</xdr:col>
                    <xdr:colOff>9525</xdr:colOff>
                    <xdr:row>8</xdr:row>
                    <xdr:rowOff>9525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14" name="Button 47">
              <controlPr defaultSize="0" print="0" autoFill="0" autoPict="0" macro="[0]!SM_JP_Step3_3rd">
                <anchor moveWithCells="1" sizeWithCells="1">
                  <from>
                    <xdr:col>9</xdr:col>
                    <xdr:colOff>9525</xdr:colOff>
                    <xdr:row>17</xdr:row>
                    <xdr:rowOff>9525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5" name="Button 48">
              <controlPr defaultSize="0" print="0" autoFill="0" autoPict="0" macro="[0]!SM_JP_Step3_4th">
                <anchor moveWithCells="1" sizeWithCells="1">
                  <from>
                    <xdr:col>10</xdr:col>
                    <xdr:colOff>9525</xdr:colOff>
                    <xdr:row>17</xdr:row>
                    <xdr:rowOff>9525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16" name="Button 63">
              <controlPr defaultSize="0" print="0" autoFill="0" autoPict="0" macro="[0]!SM_EN_Step1_Expert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17" name="Button 64">
              <controlPr defaultSize="0" print="0" autoFill="0" autoPict="0" macro="[0]!SM_EN_Step2_S">
                <anchor moveWithCells="1" sizeWithCells="1">
                  <from>
                    <xdr:col>1</xdr:col>
                    <xdr:colOff>9525</xdr:colOff>
                    <xdr:row>14</xdr:row>
                    <xdr:rowOff>9525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18" name="Button 65">
              <controlPr defaultSize="0" print="0" autoFill="0" autoPict="0" macro="[0]!SM_EN_Step2_A">
                <anchor moveWithCells="1" sizeWithCells="1">
                  <from>
                    <xdr:col>2</xdr:col>
                    <xdr:colOff>9525</xdr:colOff>
                    <xdr:row>14</xdr:row>
                    <xdr:rowOff>9525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19" name="Button 66">
              <controlPr defaultSize="0" print="0" autoFill="0" autoPict="0" macro="[0]!SM_EN_Step3_1st">
                <anchor moveWithCells="1" sizeWithCells="1">
                  <from>
                    <xdr:col>1</xdr:col>
                    <xdr:colOff>9525</xdr:colOff>
                    <xdr:row>17</xdr:row>
                    <xdr:rowOff>9525</xdr:rowOff>
                  </from>
                  <to>
                    <xdr:col>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0" name="Button 67">
              <controlPr defaultSize="0" print="0" autoFill="0" autoPict="0" macro="[0]!SM_EN_Step3_2nd">
                <anchor moveWithCells="1" sizeWithCells="1">
                  <from>
                    <xdr:col>2</xdr:col>
                    <xdr:colOff>9525</xdr:colOff>
                    <xdr:row>17</xdr:row>
                    <xdr:rowOff>9525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21" name="Button 68">
              <controlPr defaultSize="0" print="0" autoFill="0" autoPict="0" macro="[0]!SM_EN_Step2_B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22" name="Button 69">
              <controlPr defaultSize="0" print="0" autoFill="0" autoPict="0" macro="[0]!SM_EN_Step2_C">
                <anchor moveWithCells="1" sizeWithCells="1">
                  <from>
                    <xdr:col>4</xdr:col>
                    <xdr:colOff>9525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23" name="Button 70">
              <controlPr defaultSize="0" print="0" autoFill="0" autoPict="0" macro="[0]!SM_EN_Step1_Hard">
                <anchor moveWithCells="1" sizeWithCells="1">
                  <from>
                    <xdr:col>2</xdr:col>
                    <xdr:colOff>9525</xdr:colOff>
                    <xdr:row>8</xdr:row>
                    <xdr:rowOff>9525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24" name="Button 71">
              <controlPr defaultSize="0" print="0" autoFill="0" autoPict="0" macro="[0]!SM_EN_Step1_Normal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25" name="Button 72">
              <controlPr defaultSize="0" print="0" autoFill="0" autoPict="0" macro="[0]!SM_EN_Step1_Easy">
                <anchor moveWithCells="1" siz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26" name="Button 73">
              <controlPr defaultSize="0" print="0" autoFill="0" autoPict="0" macro="[0]!SM_EN_Step3_3rd">
                <anchor moveWithCells="1" siz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27" name="Button 74">
              <controlPr defaultSize="0" print="0" autoFill="0" autoPict="0" macro="[0]!SM_EN_Step3_4th">
                <anchor moveWithCells="1" sizeWithCells="1">
                  <from>
                    <xdr:col>4</xdr:col>
                    <xdr:colOff>9525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8" name="Button 77">
              <controlPr defaultSize="0" print="0" autoFill="0" autoPict="0" macro="[0]!SM_EN_Add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4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9" name="Button 78">
              <controlPr defaultSize="0" print="0" autoFill="0" autoPict="0" macro="[0]!SM_EN_Remove">
                <anchor moveWithCells="1" sizeWithCells="1">
                  <from>
                    <xdr:col>4</xdr:col>
                    <xdr:colOff>9525</xdr:colOff>
                    <xdr:row>24</xdr:row>
                    <xdr:rowOff>9525</xdr:rowOff>
                  </from>
                  <to>
                    <xdr:col>5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30" name="Button 79">
              <controlPr defaultSize="0" print="0" autoFill="0" autoPict="0" macro="[0]!SM_JP_Add">
                <anchor moveWithCells="1" sizeWithCells="1">
                  <from>
                    <xdr:col>9</xdr:col>
                    <xdr:colOff>9525</xdr:colOff>
                    <xdr:row>24</xdr:row>
                    <xdr:rowOff>9525</xdr:rowOff>
                  </from>
                  <to>
                    <xdr:col>10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31" name="Button 80">
              <controlPr defaultSize="0" print="0" autoFill="0" autoPict="0" macro="[0]!SM_JP_Remove">
                <anchor moveWithCells="1" sizeWithCells="1">
                  <from>
                    <xdr:col>10</xdr:col>
                    <xdr:colOff>9525</xdr:colOff>
                    <xdr:row>24</xdr:row>
                    <xdr:rowOff>9525</xdr:rowOff>
                  </from>
                  <to>
                    <xdr:col>11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32" name="Button 81">
              <controlPr defaultSize="0" print="0" autoFill="0" autoPict="0" macro="[0]!AddLCS_EN">
                <anchor moveWithCells="1" siz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1104900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33" name="Button 82">
              <controlPr defaultSize="0" print="0" autoFill="0" autoPict="0" macro="[0]!AddLCS_JP">
                <anchor moveWithCells="1" sizeWithCells="1">
                  <from>
                    <xdr:col>9</xdr:col>
                    <xdr:colOff>9525</xdr:colOff>
                    <xdr:row>6</xdr:row>
                    <xdr:rowOff>9525</xdr:rowOff>
                  </from>
                  <to>
                    <xdr:col>10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9"/>
  <sheetViews>
    <sheetView topLeftCell="A7" workbookViewId="0">
      <selection activeCell="P39" sqref="P39"/>
    </sheetView>
  </sheetViews>
  <sheetFormatPr defaultColWidth="8.75" defaultRowHeight="14.25" x14ac:dyDescent="0.15"/>
  <cols>
    <col min="1" max="2" width="27.875" style="1" bestFit="1" customWidth="1"/>
    <col min="3" max="3" width="7.5" style="1" bestFit="1" customWidth="1"/>
    <col min="4" max="4" width="8.875" style="1" bestFit="1" customWidth="1"/>
    <col min="5" max="5" width="11.25" style="1" bestFit="1" customWidth="1"/>
    <col min="6" max="6" width="6.75" style="1" bestFit="1" customWidth="1"/>
    <col min="7" max="7" width="5.5" style="1" bestFit="1" customWidth="1"/>
    <col min="8" max="8" width="8.75" style="1"/>
    <col min="9" max="9" width="4.875" style="1" bestFit="1" customWidth="1"/>
    <col min="10" max="10" width="9.875" style="1" bestFit="1" customWidth="1"/>
    <col min="11" max="11" width="11.875" style="1" bestFit="1" customWidth="1"/>
    <col min="12" max="12" width="6.375" style="1" bestFit="1" customWidth="1"/>
    <col min="13" max="13" width="7.5" style="1" bestFit="1" customWidth="1"/>
    <col min="14" max="14" width="7.875" style="1" bestFit="1" customWidth="1"/>
    <col min="15" max="15" width="15.125" style="1" bestFit="1" customWidth="1"/>
    <col min="16" max="16" width="16.625" style="1" bestFit="1" customWidth="1"/>
    <col min="18" max="20" width="8.75" style="1"/>
    <col min="21" max="21" width="23.25" style="1" bestFit="1" customWidth="1"/>
    <col min="22" max="16384" width="8.75" style="1"/>
  </cols>
  <sheetData>
    <row r="1" spans="1:16" x14ac:dyDescent="0.15">
      <c r="A1" s="38" t="s">
        <v>0</v>
      </c>
      <c r="B1" s="38"/>
      <c r="C1" s="38"/>
    </row>
    <row r="3" spans="1:16" x14ac:dyDescent="0.15">
      <c r="A3" s="1" t="s">
        <v>26</v>
      </c>
    </row>
    <row r="4" spans="1:16" x14ac:dyDescent="0.15">
      <c r="A4" s="1" t="s">
        <v>27</v>
      </c>
    </row>
    <row r="5" spans="1:16" x14ac:dyDescent="0.15">
      <c r="A5" s="1" t="s">
        <v>28</v>
      </c>
    </row>
    <row r="6" spans="1:16" x14ac:dyDescent="0.15">
      <c r="A6" s="1" t="s">
        <v>30</v>
      </c>
    </row>
    <row r="7" spans="1:16" x14ac:dyDescent="0.15">
      <c r="A7" s="1" t="s">
        <v>29</v>
      </c>
    </row>
    <row r="8" spans="1:16" x14ac:dyDescent="0.15">
      <c r="A8" s="1" t="s">
        <v>32</v>
      </c>
    </row>
    <row r="9" spans="1:16" x14ac:dyDescent="0.15">
      <c r="A9" s="1" t="s">
        <v>31</v>
      </c>
    </row>
    <row r="10" spans="1:16" x14ac:dyDescent="0.15">
      <c r="A10" s="1" t="s">
        <v>33</v>
      </c>
    </row>
    <row r="12" spans="1:16" x14ac:dyDescent="0.15">
      <c r="L12" s="37" t="s">
        <v>22</v>
      </c>
      <c r="M12" s="37"/>
      <c r="N12" s="37"/>
      <c r="O12" s="37"/>
      <c r="P12" s="37"/>
    </row>
    <row r="13" spans="1:16" x14ac:dyDescent="0.15">
      <c r="A13" s="1" t="s">
        <v>25</v>
      </c>
      <c r="B13" s="1" t="s">
        <v>36</v>
      </c>
      <c r="C13" s="1" t="s">
        <v>3</v>
      </c>
      <c r="D13" s="1" t="s">
        <v>1</v>
      </c>
      <c r="E13" s="1" t="s">
        <v>4</v>
      </c>
      <c r="F13" s="1" t="s">
        <v>6</v>
      </c>
      <c r="G13" s="1" t="s">
        <v>8</v>
      </c>
      <c r="H13" s="1" t="s">
        <v>23</v>
      </c>
      <c r="I13" s="1" t="s">
        <v>7</v>
      </c>
      <c r="J13" s="1" t="s">
        <v>24</v>
      </c>
      <c r="K13" s="1" t="s">
        <v>2</v>
      </c>
      <c r="L13" s="1" t="s">
        <v>11</v>
      </c>
      <c r="M13" s="1" t="s">
        <v>9</v>
      </c>
      <c r="N13" s="1" t="s">
        <v>10</v>
      </c>
      <c r="O13" s="1" t="s">
        <v>12</v>
      </c>
      <c r="P13" s="1" t="s">
        <v>141</v>
      </c>
    </row>
    <row r="14" spans="1:16" x14ac:dyDescent="0.15">
      <c r="A14" s="1" t="s">
        <v>34</v>
      </c>
      <c r="C14" s="1">
        <v>457</v>
      </c>
      <c r="D14" s="1">
        <v>1022613</v>
      </c>
      <c r="E14" s="1" t="s">
        <v>5</v>
      </c>
      <c r="F14" s="1">
        <v>16875</v>
      </c>
      <c r="G14" s="1">
        <v>1.25</v>
      </c>
      <c r="I14" s="1">
        <v>1.1000000000000001</v>
      </c>
      <c r="K14" s="1">
        <v>1046</v>
      </c>
      <c r="L14" s="1">
        <v>1.2</v>
      </c>
      <c r="M14" s="1">
        <v>1.02</v>
      </c>
      <c r="N14" s="1">
        <v>1.1000000000000001</v>
      </c>
      <c r="O14" s="1">
        <v>1</v>
      </c>
      <c r="P14" s="2">
        <f>K14/N14/M14/L14/O14</f>
        <v>776.88651218062989</v>
      </c>
    </row>
    <row r="15" spans="1:16" x14ac:dyDescent="0.15">
      <c r="A15" s="1" t="s">
        <v>34</v>
      </c>
      <c r="C15" s="1">
        <v>1255</v>
      </c>
      <c r="D15" s="1">
        <v>1134504</v>
      </c>
      <c r="E15" s="1" t="s">
        <v>5</v>
      </c>
      <c r="F15" s="1">
        <v>13500</v>
      </c>
      <c r="G15" s="1">
        <v>1</v>
      </c>
      <c r="I15" s="1">
        <v>1.1000000000000001</v>
      </c>
      <c r="K15" s="1">
        <v>1142</v>
      </c>
      <c r="L15" s="1">
        <v>1.2</v>
      </c>
      <c r="M15" s="1">
        <v>1.06</v>
      </c>
      <c r="N15" s="1">
        <v>1.1000000000000001</v>
      </c>
      <c r="O15" s="1">
        <v>1.05</v>
      </c>
      <c r="P15" s="2">
        <f>K15/N15/M15/L15/O15</f>
        <v>777.31492825832436</v>
      </c>
    </row>
    <row r="16" spans="1:16" x14ac:dyDescent="0.15">
      <c r="A16" s="1" t="s">
        <v>34</v>
      </c>
      <c r="C16" s="1">
        <v>274</v>
      </c>
      <c r="E16" s="1" t="s">
        <v>13</v>
      </c>
      <c r="F16" s="1">
        <v>13500</v>
      </c>
      <c r="G16" s="1">
        <v>1</v>
      </c>
      <c r="I16" s="1">
        <v>1.1000000000000001</v>
      </c>
      <c r="K16" s="1">
        <v>1026</v>
      </c>
      <c r="L16" s="1">
        <v>1.2</v>
      </c>
      <c r="M16" s="1">
        <v>1</v>
      </c>
      <c r="N16" s="1">
        <v>1.1000000000000001</v>
      </c>
      <c r="O16" s="1">
        <v>1</v>
      </c>
      <c r="P16" s="2">
        <f>K16/N16/M16/L16/O16</f>
        <v>777.27272727272725</v>
      </c>
    </row>
    <row r="17" spans="1:16" x14ac:dyDescent="0.15">
      <c r="A17" s="1" t="s">
        <v>34</v>
      </c>
      <c r="C17" s="1">
        <v>470</v>
      </c>
      <c r="D17" s="1">
        <v>1055724</v>
      </c>
      <c r="E17" s="1" t="s">
        <v>5</v>
      </c>
      <c r="F17" s="1">
        <v>13500</v>
      </c>
      <c r="G17" s="1">
        <v>1</v>
      </c>
      <c r="I17" s="1">
        <v>1.1000000000000001</v>
      </c>
      <c r="L17" s="1">
        <v>1.2</v>
      </c>
      <c r="M17" s="1">
        <v>1.02</v>
      </c>
      <c r="N17" s="1">
        <v>1.1000000000000001</v>
      </c>
      <c r="O17" s="1">
        <v>1</v>
      </c>
      <c r="P17" s="2"/>
    </row>
    <row r="18" spans="1:16" x14ac:dyDescent="0.15">
      <c r="A18" s="1" t="s">
        <v>34</v>
      </c>
      <c r="C18" s="1">
        <v>1020</v>
      </c>
      <c r="D18" s="1">
        <v>1026833</v>
      </c>
      <c r="E18" s="1" t="s">
        <v>21</v>
      </c>
      <c r="F18" s="1">
        <v>13500</v>
      </c>
      <c r="G18" s="1">
        <v>1</v>
      </c>
      <c r="H18" s="1">
        <v>274</v>
      </c>
      <c r="I18" s="1">
        <v>1.1000000000000001</v>
      </c>
      <c r="J18" s="1">
        <f>H18/I18</f>
        <v>249.09090909090907</v>
      </c>
      <c r="K18" s="1">
        <v>1196</v>
      </c>
      <c r="L18" s="1">
        <v>1.2</v>
      </c>
      <c r="M18" s="1">
        <v>1.06</v>
      </c>
      <c r="N18" s="1">
        <v>1.1000000000000001</v>
      </c>
      <c r="O18" s="1">
        <v>1.1000000000000001</v>
      </c>
      <c r="P18" s="2">
        <f>K18/N18/M18/L18/O18</f>
        <v>777.06741514631733</v>
      </c>
    </row>
    <row r="19" spans="1:16" x14ac:dyDescent="0.15">
      <c r="A19" s="1" t="s">
        <v>35</v>
      </c>
      <c r="B19" s="1" t="s">
        <v>37</v>
      </c>
      <c r="C19" s="1">
        <v>825</v>
      </c>
      <c r="D19" s="1">
        <v>927738</v>
      </c>
      <c r="E19" s="1" t="s">
        <v>21</v>
      </c>
      <c r="F19" s="1">
        <v>13500</v>
      </c>
      <c r="G19" s="1">
        <v>1</v>
      </c>
      <c r="H19" s="1">
        <v>274</v>
      </c>
      <c r="I19" s="1">
        <v>1.1000000000000001</v>
      </c>
      <c r="J19" s="1">
        <f>H19/I19</f>
        <v>249.09090909090907</v>
      </c>
      <c r="K19" s="1">
        <v>1067</v>
      </c>
      <c r="L19" s="1">
        <v>1.2</v>
      </c>
      <c r="M19" s="1">
        <v>1.04</v>
      </c>
      <c r="N19" s="1">
        <v>1.1000000000000001</v>
      </c>
      <c r="O19" s="1">
        <v>1</v>
      </c>
      <c r="P19" s="2">
        <f>K19/N19/M19/L19/O19</f>
        <v>777.24358974358961</v>
      </c>
    </row>
    <row r="20" spans="1:16" x14ac:dyDescent="0.15">
      <c r="A20" s="1" t="s">
        <v>35</v>
      </c>
      <c r="C20" s="1">
        <v>975</v>
      </c>
      <c r="D20" s="1">
        <v>1122677</v>
      </c>
      <c r="E20" s="1" t="s">
        <v>38</v>
      </c>
      <c r="F20" s="1">
        <v>13500</v>
      </c>
      <c r="G20" s="1">
        <v>1</v>
      </c>
      <c r="H20" s="1">
        <v>274</v>
      </c>
      <c r="I20" s="1">
        <v>1.1000000000000001</v>
      </c>
      <c r="J20" s="1">
        <f>H20/I20</f>
        <v>249.09090909090907</v>
      </c>
      <c r="K20" s="1">
        <v>1067</v>
      </c>
      <c r="L20" s="1">
        <v>1.2</v>
      </c>
      <c r="M20" s="1">
        <v>1.04</v>
      </c>
      <c r="N20" s="1">
        <v>1.1000000000000001</v>
      </c>
      <c r="O20" s="1">
        <v>1</v>
      </c>
      <c r="P20" s="2">
        <f>K20/N20/M20/L20/O20</f>
        <v>777.24358974358961</v>
      </c>
    </row>
    <row r="21" spans="1:16" x14ac:dyDescent="0.15">
      <c r="A21" s="1" t="s">
        <v>35</v>
      </c>
      <c r="C21" s="1">
        <v>515</v>
      </c>
      <c r="D21" s="1">
        <v>1024673</v>
      </c>
      <c r="E21" s="1" t="s">
        <v>39</v>
      </c>
      <c r="F21" s="1">
        <v>20250</v>
      </c>
      <c r="G21" s="1">
        <v>1.5</v>
      </c>
      <c r="H21" s="1">
        <v>274</v>
      </c>
      <c r="I21" s="1">
        <v>1.1000000000000001</v>
      </c>
      <c r="J21" s="1">
        <f>H21/I21</f>
        <v>249.09090909090907</v>
      </c>
      <c r="K21" s="1">
        <v>1046</v>
      </c>
      <c r="L21" s="1">
        <v>1.2</v>
      </c>
      <c r="M21" s="1">
        <v>1.02</v>
      </c>
      <c r="N21" s="1">
        <v>1.1000000000000001</v>
      </c>
      <c r="O21" s="1">
        <v>1</v>
      </c>
      <c r="P21" s="2">
        <f>K21/N21/M21/L21/O21</f>
        <v>776.88651218062989</v>
      </c>
    </row>
    <row r="22" spans="1:16" x14ac:dyDescent="0.15">
      <c r="P22" s="2"/>
    </row>
    <row r="23" spans="1:16" x14ac:dyDescent="0.15">
      <c r="A23" s="1" t="s">
        <v>35</v>
      </c>
      <c r="B23" s="1" t="s">
        <v>40</v>
      </c>
      <c r="C23" s="1">
        <v>1316</v>
      </c>
      <c r="D23" s="1">
        <v>1194923</v>
      </c>
      <c r="E23" s="1" t="s">
        <v>41</v>
      </c>
      <c r="F23" s="1">
        <v>13500</v>
      </c>
      <c r="G23" s="1">
        <v>1</v>
      </c>
      <c r="H23" s="1">
        <v>274</v>
      </c>
      <c r="I23" s="1">
        <v>1.1000000000000001</v>
      </c>
      <c r="J23" s="1">
        <f t="shared" ref="J23:J39" si="0">H23/I23</f>
        <v>249.09090909090907</v>
      </c>
      <c r="K23" s="1">
        <v>1087</v>
      </c>
      <c r="L23" s="1">
        <v>1.2</v>
      </c>
      <c r="M23" s="1">
        <v>1.06</v>
      </c>
      <c r="N23" s="1">
        <v>1.1000000000000001</v>
      </c>
      <c r="O23" s="1">
        <v>1</v>
      </c>
      <c r="P23" s="2">
        <f t="shared" ref="P23:P39" si="1">K23/N23/M23/L23/O23</f>
        <v>776.8724985706117</v>
      </c>
    </row>
    <row r="24" spans="1:16" x14ac:dyDescent="0.15">
      <c r="A24" s="1" t="s">
        <v>135</v>
      </c>
      <c r="B24" s="1" t="s">
        <v>136</v>
      </c>
      <c r="C24" s="1">
        <v>828</v>
      </c>
      <c r="D24" s="1">
        <v>1132133</v>
      </c>
      <c r="E24" s="1" t="s">
        <v>137</v>
      </c>
      <c r="F24" s="1">
        <v>13500</v>
      </c>
      <c r="G24" s="1">
        <v>1</v>
      </c>
      <c r="H24" s="1">
        <v>274</v>
      </c>
      <c r="I24" s="1">
        <v>1.1000000000000001</v>
      </c>
      <c r="J24" s="1">
        <f t="shared" si="0"/>
        <v>249.09090909090907</v>
      </c>
      <c r="K24" s="1">
        <v>1067</v>
      </c>
      <c r="L24" s="1">
        <v>1.2</v>
      </c>
      <c r="M24" s="1">
        <v>1.04</v>
      </c>
      <c r="N24" s="1">
        <v>1.1000000000000001</v>
      </c>
      <c r="O24" s="1">
        <v>1</v>
      </c>
      <c r="P24" s="2">
        <f t="shared" si="1"/>
        <v>777.24358974358961</v>
      </c>
    </row>
    <row r="25" spans="1:16" x14ac:dyDescent="0.15">
      <c r="A25" s="1" t="s">
        <v>138</v>
      </c>
      <c r="C25" s="1">
        <v>961</v>
      </c>
      <c r="D25" s="1">
        <v>1108606</v>
      </c>
      <c r="E25" s="1" t="s">
        <v>5</v>
      </c>
      <c r="F25" s="1">
        <v>13500</v>
      </c>
      <c r="G25" s="1">
        <v>1</v>
      </c>
      <c r="H25" s="1">
        <v>274</v>
      </c>
      <c r="I25" s="1">
        <v>1.1000000000000001</v>
      </c>
      <c r="J25" s="1">
        <f t="shared" si="0"/>
        <v>249.09090909090907</v>
      </c>
      <c r="K25" s="1">
        <v>1087</v>
      </c>
      <c r="L25" s="1">
        <v>1.2</v>
      </c>
      <c r="M25" s="1">
        <v>1.06</v>
      </c>
      <c r="N25" s="1">
        <v>1.1000000000000001</v>
      </c>
      <c r="O25" s="1">
        <v>1</v>
      </c>
      <c r="P25" s="1">
        <f t="shared" si="1"/>
        <v>776.8724985706117</v>
      </c>
    </row>
    <row r="26" spans="1:16" x14ac:dyDescent="0.15">
      <c r="A26" s="1" t="s">
        <v>140</v>
      </c>
      <c r="B26" s="1" t="s">
        <v>139</v>
      </c>
      <c r="C26" s="1">
        <v>463</v>
      </c>
      <c r="D26" s="1">
        <v>761903</v>
      </c>
      <c r="E26" s="1" t="s">
        <v>5</v>
      </c>
      <c r="F26" s="1">
        <v>11250</v>
      </c>
      <c r="G26" s="1">
        <v>1.25</v>
      </c>
      <c r="H26" s="1">
        <v>183</v>
      </c>
      <c r="I26" s="1">
        <v>1.1000000000000001</v>
      </c>
      <c r="J26" s="1">
        <f t="shared" si="0"/>
        <v>166.36363636363635</v>
      </c>
      <c r="K26" s="1">
        <v>673</v>
      </c>
      <c r="L26" s="1">
        <v>1.2</v>
      </c>
      <c r="M26" s="1">
        <v>1.02</v>
      </c>
      <c r="N26" s="1">
        <v>1.1000000000000001</v>
      </c>
      <c r="O26" s="1">
        <v>1</v>
      </c>
      <c r="P26" s="1">
        <f t="shared" si="1"/>
        <v>499.85145573380862</v>
      </c>
    </row>
    <row r="27" spans="1:16" x14ac:dyDescent="0.15">
      <c r="A27" s="1" t="s">
        <v>34</v>
      </c>
      <c r="C27" s="1">
        <v>704</v>
      </c>
      <c r="D27" s="1">
        <v>1139263</v>
      </c>
      <c r="E27" s="1" t="s">
        <v>5</v>
      </c>
      <c r="F27" s="1">
        <v>16875</v>
      </c>
      <c r="G27" s="1">
        <v>1.25</v>
      </c>
      <c r="H27" s="1">
        <v>274</v>
      </c>
      <c r="I27" s="1">
        <v>1.1000000000000001</v>
      </c>
      <c r="J27" s="1">
        <f t="shared" si="0"/>
        <v>249.09090909090907</v>
      </c>
      <c r="K27" s="1">
        <v>1067</v>
      </c>
      <c r="L27" s="1">
        <v>1.2</v>
      </c>
      <c r="M27" s="1">
        <v>1.04</v>
      </c>
      <c r="N27" s="1">
        <v>1.1000000000000001</v>
      </c>
      <c r="O27" s="1">
        <v>1</v>
      </c>
      <c r="P27" s="1">
        <f t="shared" si="1"/>
        <v>777.24358974358961</v>
      </c>
    </row>
    <row r="28" spans="1:16" x14ac:dyDescent="0.15">
      <c r="A28" s="1" t="s">
        <v>34</v>
      </c>
      <c r="C28" s="1">
        <v>557</v>
      </c>
      <c r="D28" s="1">
        <v>820751</v>
      </c>
      <c r="E28" s="1" t="s">
        <v>142</v>
      </c>
      <c r="F28" s="1">
        <v>13500</v>
      </c>
      <c r="G28" s="1">
        <v>1</v>
      </c>
      <c r="H28" s="1">
        <v>274</v>
      </c>
      <c r="I28" s="1">
        <v>1.1000000000000001</v>
      </c>
      <c r="J28" s="1">
        <f t="shared" si="0"/>
        <v>249.09090909090907</v>
      </c>
      <c r="K28" s="1">
        <v>1067</v>
      </c>
      <c r="L28" s="1">
        <v>1.2</v>
      </c>
      <c r="M28" s="1">
        <v>1.04</v>
      </c>
      <c r="N28" s="1">
        <v>1.1000000000000001</v>
      </c>
      <c r="O28" s="1">
        <v>1</v>
      </c>
      <c r="P28" s="1">
        <f t="shared" si="1"/>
        <v>777.24358974358961</v>
      </c>
    </row>
    <row r="29" spans="1:16" x14ac:dyDescent="0.15">
      <c r="A29" s="1" t="s">
        <v>34</v>
      </c>
      <c r="B29" s="1" t="s">
        <v>143</v>
      </c>
      <c r="C29" s="1">
        <v>1359</v>
      </c>
      <c r="D29" s="1">
        <v>1193162</v>
      </c>
      <c r="E29" s="1" t="s">
        <v>5</v>
      </c>
      <c r="F29" s="1">
        <v>13500</v>
      </c>
      <c r="G29" s="1">
        <v>1</v>
      </c>
      <c r="H29" s="1">
        <v>274</v>
      </c>
      <c r="I29" s="1">
        <v>1.1000000000000001</v>
      </c>
      <c r="J29" s="1">
        <f t="shared" si="0"/>
        <v>249.09090909090907</v>
      </c>
      <c r="K29" s="1">
        <v>1108</v>
      </c>
      <c r="L29" s="1">
        <v>1.2</v>
      </c>
      <c r="M29" s="1">
        <v>1.08</v>
      </c>
      <c r="N29" s="1">
        <v>1.1000000000000001</v>
      </c>
      <c r="O29" s="1">
        <v>1</v>
      </c>
      <c r="P29" s="1">
        <f t="shared" si="1"/>
        <v>777.21661054994377</v>
      </c>
    </row>
    <row r="30" spans="1:16" x14ac:dyDescent="0.15">
      <c r="A30" s="1" t="s">
        <v>34</v>
      </c>
      <c r="B30" s="1" t="s">
        <v>144</v>
      </c>
      <c r="C30" s="1">
        <v>1350</v>
      </c>
      <c r="D30" s="1">
        <v>1198323</v>
      </c>
      <c r="E30" s="1" t="s">
        <v>5</v>
      </c>
      <c r="F30" s="1">
        <v>13500</v>
      </c>
      <c r="G30" s="1">
        <v>1</v>
      </c>
      <c r="H30" s="1">
        <v>274</v>
      </c>
      <c r="I30" s="1">
        <v>1.1000000000000001</v>
      </c>
      <c r="J30" s="1">
        <f t="shared" si="0"/>
        <v>249.09090909090907</v>
      </c>
      <c r="K30" s="1">
        <v>1108</v>
      </c>
      <c r="L30" s="1">
        <v>1.2</v>
      </c>
      <c r="M30" s="1">
        <v>1.08</v>
      </c>
      <c r="N30" s="1">
        <v>1.1000000000000001</v>
      </c>
      <c r="O30" s="1">
        <v>1</v>
      </c>
      <c r="P30" s="1">
        <f t="shared" si="1"/>
        <v>777.21661054994377</v>
      </c>
    </row>
    <row r="31" spans="1:16" x14ac:dyDescent="0.15">
      <c r="A31" s="1" t="s">
        <v>34</v>
      </c>
      <c r="C31" s="1">
        <v>742</v>
      </c>
      <c r="D31" s="1">
        <v>1119615</v>
      </c>
      <c r="E31" s="1" t="s">
        <v>5</v>
      </c>
      <c r="F31" s="1">
        <v>13500</v>
      </c>
      <c r="G31" s="1">
        <v>1</v>
      </c>
      <c r="H31" s="1">
        <v>274</v>
      </c>
      <c r="I31" s="1">
        <v>1.1000000000000001</v>
      </c>
      <c r="J31" s="1">
        <f t="shared" si="0"/>
        <v>249.09090909090907</v>
      </c>
      <c r="K31" s="1">
        <v>1067</v>
      </c>
      <c r="L31" s="1">
        <v>1.2</v>
      </c>
      <c r="M31" s="1">
        <v>1.04</v>
      </c>
      <c r="N31" s="1">
        <v>1.1000000000000001</v>
      </c>
      <c r="O31" s="1">
        <v>1</v>
      </c>
      <c r="P31" s="1">
        <f t="shared" si="1"/>
        <v>777.24358974358961</v>
      </c>
    </row>
    <row r="32" spans="1:16" x14ac:dyDescent="0.15">
      <c r="A32" s="1" t="s">
        <v>34</v>
      </c>
      <c r="C32" s="1">
        <v>1152</v>
      </c>
      <c r="D32" s="1">
        <v>1132224</v>
      </c>
      <c r="E32" s="1" t="s">
        <v>5</v>
      </c>
      <c r="F32" s="1">
        <v>13500</v>
      </c>
      <c r="G32" s="1">
        <v>1</v>
      </c>
      <c r="H32" s="1">
        <v>274</v>
      </c>
      <c r="I32" s="1">
        <v>1.1000000000000001</v>
      </c>
      <c r="J32" s="1">
        <f t="shared" si="0"/>
        <v>249.09090909090907</v>
      </c>
      <c r="K32" s="1">
        <v>1196</v>
      </c>
      <c r="L32" s="1">
        <v>1.2</v>
      </c>
      <c r="M32" s="1">
        <v>1.06</v>
      </c>
      <c r="N32" s="1">
        <v>1.1000000000000001</v>
      </c>
      <c r="O32" s="1">
        <v>1.1000000000000001</v>
      </c>
      <c r="P32" s="1">
        <f t="shared" si="1"/>
        <v>777.06741514631733</v>
      </c>
    </row>
    <row r="33" spans="1:16" x14ac:dyDescent="0.15">
      <c r="A33" s="1" t="s">
        <v>34</v>
      </c>
      <c r="B33" s="1" t="s">
        <v>143</v>
      </c>
      <c r="C33" s="1">
        <v>1402</v>
      </c>
      <c r="D33" s="1">
        <v>1204545</v>
      </c>
      <c r="E33" s="1" t="s">
        <v>5</v>
      </c>
      <c r="F33" s="1">
        <v>13500</v>
      </c>
      <c r="G33" s="1">
        <v>1</v>
      </c>
      <c r="H33" s="1">
        <v>274</v>
      </c>
      <c r="I33" s="1">
        <v>1.1000000000000001</v>
      </c>
      <c r="J33" s="1">
        <f t="shared" si="0"/>
        <v>249.09090909090907</v>
      </c>
      <c r="K33" s="1">
        <v>1108</v>
      </c>
      <c r="L33" s="1">
        <v>1.2</v>
      </c>
      <c r="M33" s="1">
        <v>1.08</v>
      </c>
      <c r="N33" s="1">
        <v>1.1000000000000001</v>
      </c>
      <c r="O33" s="1">
        <v>1</v>
      </c>
      <c r="P33" s="1">
        <f t="shared" si="1"/>
        <v>777.21661054994377</v>
      </c>
    </row>
    <row r="34" spans="1:16" x14ac:dyDescent="0.15">
      <c r="A34" s="1" t="s">
        <v>34</v>
      </c>
      <c r="B34" s="1" t="s">
        <v>145</v>
      </c>
      <c r="C34" s="1">
        <v>890</v>
      </c>
      <c r="D34" s="1">
        <v>752601</v>
      </c>
      <c r="E34" s="1" t="s">
        <v>5</v>
      </c>
      <c r="F34" s="1">
        <v>9000</v>
      </c>
      <c r="G34" s="1">
        <v>1</v>
      </c>
      <c r="H34" s="1">
        <v>183</v>
      </c>
      <c r="I34" s="1">
        <v>1.1000000000000001</v>
      </c>
      <c r="J34" s="1">
        <f t="shared" si="0"/>
        <v>166.36363636363635</v>
      </c>
      <c r="K34" s="1">
        <v>713</v>
      </c>
      <c r="L34" s="1">
        <v>1.2</v>
      </c>
      <c r="M34" s="1">
        <v>1.08</v>
      </c>
      <c r="N34" s="1">
        <v>1.1000000000000001</v>
      </c>
      <c r="O34" s="1">
        <v>1</v>
      </c>
      <c r="P34" s="1">
        <f t="shared" si="1"/>
        <v>500.14029180695843</v>
      </c>
    </row>
    <row r="35" spans="1:16" x14ac:dyDescent="0.15">
      <c r="A35" s="1" t="s">
        <v>34</v>
      </c>
      <c r="B35" s="1" t="s">
        <v>146</v>
      </c>
      <c r="C35" s="1">
        <v>1338</v>
      </c>
      <c r="D35" s="1">
        <v>1120932</v>
      </c>
      <c r="E35" s="1" t="s">
        <v>147</v>
      </c>
      <c r="F35" s="1">
        <v>13500</v>
      </c>
      <c r="G35" s="1">
        <v>1</v>
      </c>
      <c r="H35" s="1">
        <v>274</v>
      </c>
      <c r="I35" s="1">
        <v>1.1000000000000001</v>
      </c>
      <c r="J35" s="1">
        <f t="shared" si="0"/>
        <v>249.09090909090907</v>
      </c>
      <c r="K35" s="1">
        <v>1163</v>
      </c>
      <c r="L35" s="1">
        <v>1.2</v>
      </c>
      <c r="M35" s="1">
        <v>1.08</v>
      </c>
      <c r="N35" s="1">
        <v>1.1000000000000001</v>
      </c>
      <c r="O35" s="1">
        <v>1.05</v>
      </c>
      <c r="P35" s="1">
        <f t="shared" si="1"/>
        <v>776.94938806049913</v>
      </c>
    </row>
    <row r="36" spans="1:16" x14ac:dyDescent="0.15">
      <c r="A36" s="1" t="s">
        <v>34</v>
      </c>
      <c r="B36" s="1" t="s">
        <v>139</v>
      </c>
      <c r="C36" s="1">
        <v>434</v>
      </c>
      <c r="D36" s="1">
        <v>626045</v>
      </c>
      <c r="E36" s="1" t="s">
        <v>148</v>
      </c>
      <c r="F36" s="1">
        <v>9000</v>
      </c>
      <c r="G36" s="1">
        <v>1</v>
      </c>
      <c r="H36" s="1">
        <v>183</v>
      </c>
      <c r="I36" s="1">
        <v>1.1000000000000001</v>
      </c>
      <c r="J36" s="1">
        <f t="shared" si="0"/>
        <v>166.36363636363635</v>
      </c>
      <c r="K36" s="1">
        <v>686</v>
      </c>
      <c r="L36" s="1">
        <v>1.2</v>
      </c>
      <c r="M36" s="1">
        <v>1.04</v>
      </c>
      <c r="N36" s="1">
        <v>1.1000000000000001</v>
      </c>
      <c r="O36" s="1">
        <v>1</v>
      </c>
      <c r="P36" s="1">
        <f t="shared" si="1"/>
        <v>499.70862470862471</v>
      </c>
    </row>
    <row r="37" spans="1:16" x14ac:dyDescent="0.15">
      <c r="A37" s="1" t="s">
        <v>34</v>
      </c>
      <c r="B37" s="1" t="s">
        <v>149</v>
      </c>
      <c r="C37" s="1">
        <v>992</v>
      </c>
      <c r="D37" s="1">
        <v>1025182</v>
      </c>
      <c r="E37" s="1" t="s">
        <v>5</v>
      </c>
      <c r="F37" s="1">
        <v>13500</v>
      </c>
      <c r="G37" s="1">
        <v>1</v>
      </c>
      <c r="H37" s="1">
        <v>274</v>
      </c>
      <c r="I37" s="1">
        <v>1.1000000000000001</v>
      </c>
      <c r="J37" s="1">
        <f t="shared" si="0"/>
        <v>249.09090909090907</v>
      </c>
      <c r="K37" s="1">
        <v>1087</v>
      </c>
      <c r="L37" s="1">
        <v>1.2</v>
      </c>
      <c r="M37" s="1">
        <v>1.06</v>
      </c>
      <c r="N37" s="1">
        <v>1.1000000000000001</v>
      </c>
      <c r="O37" s="1">
        <v>1</v>
      </c>
      <c r="P37" s="1">
        <f t="shared" si="1"/>
        <v>776.8724985706117</v>
      </c>
    </row>
    <row r="38" spans="1:16" x14ac:dyDescent="0.15">
      <c r="A38" s="1" t="s">
        <v>34</v>
      </c>
      <c r="B38" s="1" t="s">
        <v>149</v>
      </c>
      <c r="C38" s="1">
        <v>1102</v>
      </c>
      <c r="D38" s="1">
        <v>1141452</v>
      </c>
      <c r="E38" s="1" t="s">
        <v>5</v>
      </c>
      <c r="F38" s="1">
        <v>13500</v>
      </c>
      <c r="G38" s="1">
        <v>1</v>
      </c>
      <c r="H38" s="1">
        <v>274</v>
      </c>
      <c r="I38" s="1">
        <v>1.1000000000000001</v>
      </c>
      <c r="J38" s="1">
        <f t="shared" si="0"/>
        <v>249.09090909090907</v>
      </c>
      <c r="K38" s="1">
        <v>1087</v>
      </c>
      <c r="L38" s="1">
        <v>1.2</v>
      </c>
      <c r="M38" s="1">
        <v>1.06</v>
      </c>
      <c r="N38" s="1">
        <v>1.1000000000000001</v>
      </c>
      <c r="O38" s="1">
        <v>1</v>
      </c>
      <c r="P38" s="1">
        <f t="shared" si="1"/>
        <v>776.8724985706117</v>
      </c>
    </row>
    <row r="39" spans="1:16" x14ac:dyDescent="0.15">
      <c r="A39" s="1" t="s">
        <v>34</v>
      </c>
      <c r="B39" s="1" t="s">
        <v>146</v>
      </c>
      <c r="C39" s="1">
        <v>1444</v>
      </c>
      <c r="D39" s="1">
        <v>1257022</v>
      </c>
      <c r="E39" s="1" t="s">
        <v>150</v>
      </c>
      <c r="F39" s="1">
        <v>31590</v>
      </c>
      <c r="G39" s="1">
        <v>2.34</v>
      </c>
      <c r="H39" s="1">
        <v>274</v>
      </c>
      <c r="I39" s="1">
        <v>1.1000000000000001</v>
      </c>
      <c r="J39" s="1">
        <f t="shared" si="0"/>
        <v>249.09090909090907</v>
      </c>
      <c r="K39" s="1">
        <v>1108</v>
      </c>
      <c r="L39" s="1">
        <v>1.2</v>
      </c>
      <c r="M39" s="1">
        <v>1.08</v>
      </c>
      <c r="N39" s="1">
        <v>1.1000000000000001</v>
      </c>
      <c r="O39" s="1">
        <v>1</v>
      </c>
      <c r="P39" s="1">
        <f t="shared" si="1"/>
        <v>777.21661054994377</v>
      </c>
    </row>
  </sheetData>
  <customSheetViews>
    <customSheetView guid="{71839DD1-DC74-4C47-AECB-6BDC027C692D}">
      <selection activeCell="G29" sqref="G29"/>
      <pageMargins left="0.7" right="0.7" top="0.75" bottom="0.75" header="0.3" footer="0.3"/>
      <pageSetup paperSize="9" orientation="portrait" r:id="rId1"/>
    </customSheetView>
  </customSheetViews>
  <mergeCells count="2">
    <mergeCell ref="L12:P12"/>
    <mergeCell ref="A1:C1"/>
  </mergeCells>
  <phoneticPr fontId="2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Welcome</vt:lpstr>
      <vt:lpstr>Current Events</vt:lpstr>
      <vt:lpstr>Token Collection</vt:lpstr>
      <vt:lpstr>Score Match</vt:lpstr>
      <vt:lpstr>Medley Fes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LLSIF Event Tracker</dc:title>
  <dc:creator>Injabie3</dc:creator>
  <cp:lastModifiedBy>ライアン・ルイー</cp:lastModifiedBy>
  <dcterms:created xsi:type="dcterms:W3CDTF">2015-06-06T00:14:03Z</dcterms:created>
  <dcterms:modified xsi:type="dcterms:W3CDTF">2015-08-27T03:46:53Z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960e218e-f9cd-47b1-8007-0bd555a38fce</vt:lpwstr>
  </property>
</Properties>
</file>